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office" sheetId="1" r:id="rId4"/>
    <sheet state="visible" name="combined" sheetId="2" r:id="rId5"/>
    <sheet state="visible" name="HHI" sheetId="3" r:id="rId6"/>
    <sheet state="visible" name="quarterly" sheetId="4" r:id="rId7"/>
  </sheets>
  <definedNames/>
  <calcPr/>
  <extLst>
    <ext uri="GoogleSheetsCustomDataVersion2">
      <go:sheetsCustomData xmlns:go="http://customooxmlschemas.google.com/" r:id="rId8" roundtripDataChecksum="yqQWfG67iCzI1+r9slrcFtG38fSMYPyclHE4DWkZYS4="/>
    </ext>
  </extLst>
</workbook>
</file>

<file path=xl/sharedStrings.xml><?xml version="1.0" encoding="utf-8"?>
<sst xmlns="http://schemas.openxmlformats.org/spreadsheetml/2006/main" count="504" uniqueCount="293">
  <si>
    <t>Year</t>
  </si>
  <si>
    <t>Total Gross</t>
  </si>
  <si>
    <t>%± LY</t>
  </si>
  <si>
    <t>Releases</t>
  </si>
  <si>
    <t>Average</t>
  </si>
  <si>
    <t>#1 Release</t>
  </si>
  <si>
    <t>Source: https://www.boxofficemojo.com/year/?sort=year&amp;ref_=bo_yl__resort#table</t>
  </si>
  <si>
    <t>-</t>
  </si>
  <si>
    <t>A Minecraft Movie</t>
  </si>
  <si>
    <t>Inside Out 2</t>
  </si>
  <si>
    <t>Barbie</t>
  </si>
  <si>
    <t>Top Gun: Maverick</t>
  </si>
  <si>
    <t>Spider-Man: No Way Home</t>
  </si>
  <si>
    <t>Bad Boys for Life</t>
  </si>
  <si>
    <t>Avengers: Endgame</t>
  </si>
  <si>
    <t>Black Panther</t>
  </si>
  <si>
    <t>Star Wars: Episode VIII - The Last Jedi</t>
  </si>
  <si>
    <t>Finding Dory</t>
  </si>
  <si>
    <t>Jurassic World</t>
  </si>
  <si>
    <t>Guardians of the Galaxy</t>
  </si>
  <si>
    <t>Iron Man 3</t>
  </si>
  <si>
    <t>The Avengers</t>
  </si>
  <si>
    <t>Harry Potter and the Deathly Hallows: Part 2</t>
  </si>
  <si>
    <t>Avatar</t>
  </si>
  <si>
    <t>Transformers: Revenge of the Fallen</t>
  </si>
  <si>
    <t>The Dark Knight</t>
  </si>
  <si>
    <t>Spider-Man 3</t>
  </si>
  <si>
    <t>Pirates of the Caribbean: Dead Man's Chest</t>
  </si>
  <si>
    <t>Star Wars: Episode III - Revenge of the Sith</t>
  </si>
  <si>
    <t>Shrek 2</t>
  </si>
  <si>
    <t>Finding Nemo</t>
  </si>
  <si>
    <t>Spider-Man</t>
  </si>
  <si>
    <t>Harry Potter and the Sorcerer's Stone</t>
  </si>
  <si>
    <t>How the Grinch Stole Christmas</t>
  </si>
  <si>
    <t>Star Wars: Episode I - The Phantom Menace</t>
  </si>
  <si>
    <t>Titanic</t>
  </si>
  <si>
    <t>Men in Black</t>
  </si>
  <si>
    <t>Independence Day</t>
  </si>
  <si>
    <t>Batman Forever</t>
  </si>
  <si>
    <t>The Lion King</t>
  </si>
  <si>
    <t>Jurassic Park</t>
  </si>
  <si>
    <t>Batman Returns</t>
  </si>
  <si>
    <t>Terminator 2: Judgment Day</t>
  </si>
  <si>
    <t>Ghost</t>
  </si>
  <si>
    <t>Batman</t>
  </si>
  <si>
    <t>Who Framed Roger Rabbit</t>
  </si>
  <si>
    <t>Beverly Hills Cop II</t>
  </si>
  <si>
    <t>Top Gun</t>
  </si>
  <si>
    <t>Back to the Future</t>
  </si>
  <si>
    <t>Ghostbusters</t>
  </si>
  <si>
    <t>Star Wars: Episode VI - Return of the Jedi</t>
  </si>
  <si>
    <t>E.T. the Extra-Terrestrial</t>
  </si>
  <si>
    <t>Superman II</t>
  </si>
  <si>
    <t>Star Wars: Episode V - The Empire Strikes Back</t>
  </si>
  <si>
    <t>Superman</t>
  </si>
  <si>
    <t>Grease</t>
  </si>
  <si>
    <t>Star Wars: Episode IV - A New Hope</t>
  </si>
  <si>
    <t>Tickets Sold</t>
  </si>
  <si>
    <t>Total Box Office</t>
  </si>
  <si>
    <t>Total Inflation</t>
  </si>
  <si>
    <t>source: https://m.the-numbers.com/market/</t>
  </si>
  <si>
    <t>Adjusted Box Office</t>
  </si>
  <si>
    <t>Ticket Price</t>
  </si>
  <si>
    <t>Domestic Office</t>
  </si>
  <si>
    <t>In Billions</t>
  </si>
  <si>
    <t>Market Share</t>
  </si>
  <si>
    <t>HHI Delta</t>
  </si>
  <si>
    <t>Source:</t>
  </si>
  <si>
    <t>https://www.boxofficemojo.com/article/ed2573272068/</t>
  </si>
  <si>
    <t>Disney</t>
  </si>
  <si>
    <t>20th Century Fox</t>
  </si>
  <si>
    <t>Warner Bros</t>
  </si>
  <si>
    <t>Sony</t>
  </si>
  <si>
    <t>Universal</t>
  </si>
  <si>
    <t>Paramount</t>
  </si>
  <si>
    <t>Remaining Total Share</t>
  </si>
  <si>
    <t>Remaining Max Individual Firm Share</t>
  </si>
  <si>
    <t>Max Remaining Player</t>
  </si>
  <si>
    <t>Pre-merger HHI</t>
  </si>
  <si>
    <t>Post-merger HHI</t>
  </si>
  <si>
    <r>
      <rPr>
        <rFont val="&quot;Amazon Ember&quot;, Arial, sans-serif"/>
        <b/>
        <color rgb="FF1155CC"/>
        <u/>
      </rPr>
      <t>Cumulative Gross</t>
    </r>
  </si>
  <si>
    <r>
      <rPr>
        <rFont val="&quot;Amazon Ember&quot;, Arial, sans-serif"/>
        <b/>
        <color rgb="FF1155CC"/>
        <u/>
      </rPr>
      <t>%± LY</t>
    </r>
  </si>
  <si>
    <r>
      <rPr>
        <rFont val="&quot;Amazon Ember&quot;, Arial, sans-serif"/>
        <b/>
        <color rgb="FF1155CC"/>
        <u/>
      </rPr>
      <t>Releases</t>
    </r>
  </si>
  <si>
    <r>
      <rPr>
        <rFont val="&quot;Amazon Ember&quot;, Arial, sans-serif"/>
        <b/>
        <color rgb="FF1155CC"/>
        <u/>
      </rPr>
      <t>Average</t>
    </r>
  </si>
  <si>
    <r>
      <rPr>
        <rFont val="&quot;Amazon Ember&quot;, Arial, sans-serif"/>
        <b/>
        <color rgb="FF1155CC"/>
        <u/>
      </rPr>
      <t>Gross</t>
    </r>
  </si>
  <si>
    <r>
      <rPr>
        <rFont val="&quot;Amazon Ember&quot;, Arial, sans-serif"/>
        <b/>
        <color rgb="FF1155CC"/>
        <u/>
      </rPr>
      <t>% of Total</t>
    </r>
  </si>
  <si>
    <t>Quarter</t>
  </si>
  <si>
    <r>
      <rPr>
        <rFont val="&quot;Amazon Ember&quot;, Arial, sans-serif"/>
        <color rgb="FF1155CC"/>
        <u/>
      </rPr>
      <t>Captain America: Brave New World</t>
    </r>
  </si>
  <si>
    <t>Q1</t>
  </si>
  <si>
    <r>
      <rPr>
        <rFont val="&quot;Amazon Ember&quot;, Arial, sans-serif"/>
        <color rgb="FF1155CC"/>
        <u/>
      </rPr>
      <t>Dune: Part Two</t>
    </r>
  </si>
  <si>
    <r>
      <rPr>
        <rFont val="&quot;Amazon Ember&quot;, Arial, sans-serif"/>
        <color rgb="FF1155CC"/>
        <u/>
      </rPr>
      <t>Avatar: The Way of Water</t>
    </r>
  </si>
  <si>
    <r>
      <rPr>
        <rFont val="&quot;Amazon Ember&quot;, Arial, sans-serif"/>
        <color rgb="FF1155CC"/>
        <u/>
      </rPr>
      <t>The Batman</t>
    </r>
  </si>
  <si>
    <r>
      <rPr>
        <rFont val="&quot;Amazon Ember&quot;, Arial, sans-serif"/>
        <color rgb="FF1155CC"/>
        <u/>
      </rPr>
      <t>Tom &amp; Jerry</t>
    </r>
  </si>
  <si>
    <r>
      <rPr>
        <rFont val="&quot;Amazon Ember&quot;, Arial, sans-serif"/>
        <color rgb="FF1155CC"/>
        <u/>
      </rPr>
      <t>Bad Boys for Life</t>
    </r>
  </si>
  <si>
    <r>
      <rPr>
        <rFont val="&quot;Amazon Ember&quot;, Arial, sans-serif"/>
        <color rgb="FF1155CC"/>
        <u/>
      </rPr>
      <t>Captain Marvel</t>
    </r>
  </si>
  <si>
    <r>
      <rPr>
        <rFont val="&quot;Amazon Ember&quot;, Arial, sans-serif"/>
        <color rgb="FF1155CC"/>
        <u/>
      </rPr>
      <t>Black Panther</t>
    </r>
  </si>
  <si>
    <r>
      <rPr>
        <rFont val="&quot;Amazon Ember&quot;, Arial, sans-serif"/>
        <color rgb="FF1155CC"/>
        <u/>
      </rPr>
      <t>Beauty and the Beast</t>
    </r>
  </si>
  <si>
    <r>
      <rPr>
        <rFont val="&quot;Amazon Ember&quot;, Arial, sans-serif"/>
        <color rgb="FF1155CC"/>
        <u/>
      </rPr>
      <t>Deadpool</t>
    </r>
  </si>
  <si>
    <r>
      <rPr>
        <rFont val="&quot;Amazon Ember&quot;, Arial, sans-serif"/>
        <color rgb="FF1155CC"/>
        <u/>
      </rPr>
      <t>American Sniper</t>
    </r>
  </si>
  <si>
    <r>
      <rPr>
        <rFont val="&quot;Amazon Ember&quot;, Arial, sans-serif"/>
        <color rgb="FF1155CC"/>
        <u/>
      </rPr>
      <t>The Lego Movie</t>
    </r>
  </si>
  <si>
    <r>
      <rPr>
        <rFont val="&quot;Amazon Ember&quot;, Arial, sans-serif"/>
        <color rgb="FF1155CC"/>
        <u/>
      </rPr>
      <t>Oz the Great and Powerful</t>
    </r>
  </si>
  <si>
    <r>
      <rPr>
        <rFont val="&quot;Amazon Ember&quot;, Arial, sans-serif"/>
        <color rgb="FF1155CC"/>
        <u/>
      </rPr>
      <t>The Hunger Games</t>
    </r>
  </si>
  <si>
    <r>
      <rPr>
        <rFont val="&quot;Amazon Ember&quot;, Arial, sans-serif"/>
        <color rgb="FF1155CC"/>
        <u/>
      </rPr>
      <t>The King's Speech</t>
    </r>
  </si>
  <si>
    <r>
      <rPr>
        <rFont val="&quot;Amazon Ember&quot;, Arial, sans-serif"/>
        <color rgb="FF1155CC"/>
        <u/>
      </rPr>
      <t>Avatar</t>
    </r>
  </si>
  <si>
    <r>
      <rPr>
        <rFont val="&quot;Amazon Ember&quot;, Arial, sans-serif"/>
        <color rgb="FF1155CC"/>
        <u/>
      </rPr>
      <t>Paul Blart: Mall Cop</t>
    </r>
  </si>
  <si>
    <r>
      <rPr>
        <rFont val="&quot;Amazon Ember&quot;, Arial, sans-serif"/>
        <color rgb="FF1155CC"/>
        <u/>
      </rPr>
      <t>Horton Hears a Who!</t>
    </r>
  </si>
  <si>
    <t>&lt;0.1%</t>
  </si>
  <si>
    <r>
      <rPr>
        <rFont val="&quot;Amazon Ember&quot;, Arial, sans-serif"/>
        <color rgb="FF1155CC"/>
        <u/>
      </rPr>
      <t>The Pink Panther</t>
    </r>
  </si>
  <si>
    <r>
      <rPr>
        <rFont val="&quot;Amazon Ember&quot;, Arial, sans-serif"/>
        <color rgb="FF1155CC"/>
        <u/>
      </rPr>
      <t>Hitch</t>
    </r>
  </si>
  <si>
    <r>
      <rPr>
        <rFont val="&quot;Amazon Ember&quot;, Arial, sans-serif"/>
        <color rgb="FF1155CC"/>
        <u/>
      </rPr>
      <t>The Passion of the Christ</t>
    </r>
  </si>
  <si>
    <r>
      <rPr>
        <rFont val="&quot;Amazon Ember&quot;, Arial, sans-serif"/>
        <color rgb="FF1155CC"/>
        <u/>
      </rPr>
      <t>Chicago</t>
    </r>
  </si>
  <si>
    <r>
      <rPr>
        <rFont val="&quot;Amazon Ember&quot;, Arial, sans-serif"/>
        <color rgb="FF1155CC"/>
        <u/>
      </rPr>
      <t>A Beautiful Mind</t>
    </r>
  </si>
  <si>
    <r>
      <rPr>
        <rFont val="&quot;Amazon Ember&quot;, Arial, sans-serif"/>
        <color rgb="FF1155CC"/>
        <u/>
      </rPr>
      <t>Hannibal</t>
    </r>
  </si>
  <si>
    <r>
      <rPr>
        <rFont val="&quot;Amazon Ember&quot;, Arial, sans-serif"/>
        <color rgb="FF1155CC"/>
        <u/>
      </rPr>
      <t>Scream 3</t>
    </r>
  </si>
  <si>
    <r>
      <rPr>
        <rFont val="&quot;Amazon Ember&quot;, Arial, sans-serif"/>
        <color rgb="FF1155CC"/>
        <u/>
      </rPr>
      <t>Patch Adams</t>
    </r>
  </si>
  <si>
    <r>
      <rPr>
        <rFont val="&quot;Amazon Ember&quot;, Arial, sans-serif"/>
        <color rgb="FF1155CC"/>
        <u/>
      </rPr>
      <t>Titanic</t>
    </r>
  </si>
  <si>
    <r>
      <rPr>
        <rFont val="&quot;Amazon Ember&quot;, Arial, sans-serif"/>
        <color rgb="FF1155CC"/>
        <u/>
      </rPr>
      <t>Star Wars: Episode IV - A New Hope</t>
    </r>
    <r>
      <rPr>
        <rFont val="&quot;Amazon Ember&quot;, Arial, sans-serif"/>
      </rPr>
      <t>1997 Special Edition</t>
    </r>
  </si>
  <si>
    <r>
      <rPr>
        <rFont val="&quot;Amazon Ember&quot;, Arial, sans-serif"/>
        <color rgb="FF1155CC"/>
        <u/>
      </rPr>
      <t>Mr. Holland's Opus</t>
    </r>
  </si>
  <si>
    <r>
      <rPr>
        <rFont val="&quot;Amazon Ember&quot;, Arial, sans-serif"/>
        <color rgb="FF1155CC"/>
        <u/>
      </rPr>
      <t>Dumb and Dumber</t>
    </r>
  </si>
  <si>
    <r>
      <rPr>
        <rFont val="&quot;Amazon Ember&quot;, Arial, sans-serif"/>
        <color rgb="FF1155CC"/>
        <u/>
      </rPr>
      <t>Mrs. Doubtfire</t>
    </r>
  </si>
  <si>
    <r>
      <rPr>
        <rFont val="&quot;Amazon Ember&quot;, Arial, sans-serif"/>
        <color rgb="FF1155CC"/>
        <u/>
      </rPr>
      <t>Aladdin</t>
    </r>
  </si>
  <si>
    <r>
      <rPr>
        <rFont val="&quot;Amazon Ember&quot;, Arial, sans-serif"/>
        <color rgb="FF1155CC"/>
        <u/>
      </rPr>
      <t>Wayne's World</t>
    </r>
  </si>
  <si>
    <r>
      <rPr>
        <rFont val="&quot;Amazon Ember&quot;, Arial, sans-serif"/>
        <color rgb="FF1155CC"/>
        <u/>
      </rPr>
      <t>Home Alone</t>
    </r>
  </si>
  <si>
    <r>
      <rPr>
        <rFont val="&quot;Amazon Ember&quot;, Arial, sans-serif"/>
        <color rgb="FF1155CC"/>
        <u/>
      </rPr>
      <t>Driving Miss Daisy</t>
    </r>
  </si>
  <si>
    <r>
      <rPr>
        <rFont val="&quot;Amazon Ember&quot;, Arial, sans-serif"/>
        <color rgb="FF1155CC"/>
        <u/>
      </rPr>
      <t>Rain Man</t>
    </r>
  </si>
  <si>
    <r>
      <rPr>
        <rFont val="&quot;Amazon Ember&quot;, Arial, sans-serif"/>
        <color rgb="FF1155CC"/>
        <u/>
      </rPr>
      <t>Good Morning, Vietnam</t>
    </r>
  </si>
  <si>
    <r>
      <rPr>
        <rFont val="&quot;Amazon Ember&quot;, Arial, sans-serif"/>
        <color rgb="FF1155CC"/>
        <u/>
      </rPr>
      <t>Platoon</t>
    </r>
  </si>
  <si>
    <r>
      <rPr>
        <rFont val="&quot;Amazon Ember&quot;, Arial, sans-serif"/>
        <color rgb="FF1155CC"/>
        <u/>
      </rPr>
      <t>The Color Purple</t>
    </r>
  </si>
  <si>
    <r>
      <rPr>
        <rFont val="&quot;Amazon Ember&quot;, Arial, sans-serif"/>
        <color rgb="FF1155CC"/>
        <u/>
      </rPr>
      <t>Beverly Hills Cop</t>
    </r>
  </si>
  <si>
    <r>
      <rPr>
        <rFont val="&quot;Amazon Ember&quot;, Arial, sans-serif"/>
        <color rgb="FF1155CC"/>
        <u/>
      </rPr>
      <t>Terms of Endearment</t>
    </r>
  </si>
  <si>
    <r>
      <rPr>
        <rFont val="&quot;Amazon Ember&quot;, Arial, sans-serif"/>
        <color rgb="FF1155CC"/>
        <u/>
      </rPr>
      <t>Tootsie</t>
    </r>
  </si>
  <si>
    <r>
      <rPr>
        <rFont val="&quot;Amazon Ember&quot;, Arial, sans-serif"/>
        <color rgb="FF1155CC"/>
        <u/>
      </rPr>
      <t>Raiders of the Lost Ark</t>
    </r>
  </si>
  <si>
    <r>
      <rPr>
        <rFont val="&quot;Amazon Ember&quot;, Arial, sans-serif"/>
        <color rgb="FF1155CC"/>
        <u/>
      </rPr>
      <t>The Final Conflict</t>
    </r>
  </si>
  <si>
    <r>
      <rPr>
        <rFont val="&quot;Amazon Ember&quot;, Arial, sans-serif"/>
        <color rgb="FF1155CC"/>
        <u/>
      </rPr>
      <t>Kramer vs. Kramer</t>
    </r>
  </si>
  <si>
    <r>
      <rPr>
        <rFont val="&quot;Amazon Ember&quot;, Arial, sans-serif"/>
        <color rgb="FF1155CC"/>
        <u/>
      </rPr>
      <t>Superman</t>
    </r>
  </si>
  <si>
    <r>
      <rPr>
        <rFont val="&quot;Amazon Ember&quot;, Arial, sans-serif"/>
        <color rgb="FF1155CC"/>
        <u/>
      </rPr>
      <t>Saturday Night Fever</t>
    </r>
  </si>
  <si>
    <r>
      <rPr>
        <rFont val="&quot;Amazon Ember&quot;, Arial, sans-serif"/>
        <color rgb="FF1155CC"/>
        <u/>
      </rPr>
      <t>The Godfather</t>
    </r>
  </si>
  <si>
    <r>
      <rPr>
        <rFont val="&quot;Amazon Ember&quot;, Arial, sans-serif"/>
        <color rgb="FF1155CC"/>
        <sz val="11.0"/>
        <u/>
      </rPr>
      <t>A Minecraft Movie</t>
    </r>
  </si>
  <si>
    <t>Q2</t>
  </si>
  <si>
    <r>
      <rPr>
        <rFont val="&quot;Amazon Ember&quot;, Arial, sans-serif"/>
        <color rgb="FF1155CC"/>
        <sz val="11.0"/>
        <u/>
      </rPr>
      <t>Inside Out 2</t>
    </r>
  </si>
  <si>
    <r>
      <rPr>
        <rFont val="&quot;Amazon Ember&quot;, Arial, sans-serif"/>
        <color rgb="FF1155CC"/>
        <sz val="11.0"/>
        <u/>
      </rPr>
      <t>The Super Mario Bros. Movie</t>
    </r>
  </si>
  <si>
    <r>
      <rPr>
        <rFont val="&quot;Amazon Ember&quot;, Arial, sans-serif"/>
        <color rgb="FF1155CC"/>
        <sz val="11.0"/>
        <u/>
      </rPr>
      <t>Top Gun: Maverick</t>
    </r>
  </si>
  <si>
    <r>
      <rPr>
        <rFont val="&quot;Amazon Ember&quot;, Arial, sans-serif"/>
        <color rgb="FF1155CC"/>
        <sz val="11.0"/>
        <u/>
      </rPr>
      <t>A Quiet Place Part II</t>
    </r>
  </si>
  <si>
    <r>
      <rPr>
        <rFont val="&quot;Amazon Ember&quot;, Arial, sans-serif"/>
        <color rgb="FF1155CC"/>
        <sz val="11.0"/>
        <u/>
      </rPr>
      <t>The Wretched</t>
    </r>
  </si>
  <si>
    <r>
      <rPr>
        <rFont val="&quot;Amazon Ember&quot;, Arial, sans-serif"/>
        <color rgb="FF1155CC"/>
        <sz val="11.0"/>
        <u/>
      </rPr>
      <t>Avengers: Endgame</t>
    </r>
  </si>
  <si>
    <r>
      <rPr>
        <rFont val="&quot;Amazon Ember&quot;, Arial, sans-serif"/>
        <color rgb="FF1155CC"/>
        <sz val="11.0"/>
        <u/>
      </rPr>
      <t>Avengers: Infinity War</t>
    </r>
  </si>
  <si>
    <r>
      <rPr>
        <rFont val="&quot;Amazon Ember&quot;, Arial, sans-serif"/>
        <color rgb="FF1155CC"/>
        <sz val="11.0"/>
        <u/>
      </rPr>
      <t>Guardians of the Galaxy Vol. 2</t>
    </r>
  </si>
  <si>
    <r>
      <rPr>
        <rFont val="&quot;Amazon Ember&quot;, Arial, sans-serif"/>
        <color rgb="FF1155CC"/>
        <sz val="11.0"/>
        <u/>
      </rPr>
      <t>Captain America: Civil War</t>
    </r>
  </si>
  <si>
    <r>
      <rPr>
        <rFont val="&quot;Amazon Ember&quot;, Arial, sans-serif"/>
        <color rgb="FF1155CC"/>
        <sz val="11.0"/>
        <u/>
      </rPr>
      <t>Jurassic World</t>
    </r>
  </si>
  <si>
    <r>
      <rPr>
        <rFont val="&quot;Amazon Ember&quot;, Arial, sans-serif"/>
        <color rgb="FF1155CC"/>
        <sz val="11.0"/>
        <u/>
      </rPr>
      <t>Captain America: The Winter Soldier</t>
    </r>
  </si>
  <si>
    <r>
      <rPr>
        <rFont val="&quot;Amazon Ember&quot;, Arial, sans-serif"/>
        <color rgb="FF1155CC"/>
        <sz val="11.0"/>
        <u/>
      </rPr>
      <t>Iron Man 3</t>
    </r>
  </si>
  <si>
    <r>
      <rPr>
        <rFont val="&quot;Amazon Ember&quot;, Arial, sans-serif"/>
        <color rgb="FF1155CC"/>
        <sz val="11.0"/>
        <u/>
      </rPr>
      <t>The Avengers</t>
    </r>
  </si>
  <si>
    <r>
      <rPr>
        <rFont val="&quot;Amazon Ember&quot;, Arial, sans-serif"/>
        <color rgb="FF1155CC"/>
        <sz val="11.0"/>
        <u/>
      </rPr>
      <t>The Hangover Part II</t>
    </r>
  </si>
  <si>
    <r>
      <rPr>
        <rFont val="&quot;Amazon Ember&quot;, Arial, sans-serif"/>
        <color rgb="FF1155CC"/>
        <sz val="11.0"/>
        <u/>
      </rPr>
      <t>Iron Man 2</t>
    </r>
  </si>
  <si>
    <r>
      <rPr>
        <rFont val="&quot;Amazon Ember&quot;, Arial, sans-serif"/>
        <color rgb="FF1155CC"/>
        <sz val="11.0"/>
        <u/>
      </rPr>
      <t>Up</t>
    </r>
  </si>
  <si>
    <r>
      <rPr>
        <rFont val="&quot;Amazon Ember&quot;, Arial, sans-serif"/>
        <color rgb="FF1155CC"/>
        <sz val="11.0"/>
        <u/>
      </rPr>
      <t>Iron Man</t>
    </r>
  </si>
  <si>
    <r>
      <rPr>
        <rFont val="&quot;Amazon Ember&quot;, Arial, sans-serif"/>
        <color rgb="FF1155CC"/>
        <sz val="11.0"/>
        <u/>
      </rPr>
      <t>Spider-Man 3</t>
    </r>
  </si>
  <si>
    <r>
      <rPr>
        <rFont val="&quot;Amazon Ember&quot;, Arial, sans-serif"/>
        <color rgb="FF1155CC"/>
        <sz val="11.0"/>
        <u/>
      </rPr>
      <t>X-Men: The Last Stand</t>
    </r>
  </si>
  <si>
    <r>
      <rPr>
        <rFont val="&quot;Amazon Ember&quot;, Arial, sans-serif"/>
        <color rgb="FF1155CC"/>
        <sz val="11.0"/>
        <u/>
      </rPr>
      <t>Star Wars: Episode III - Revenge of the Sith</t>
    </r>
  </si>
  <si>
    <r>
      <rPr>
        <rFont val="&quot;Amazon Ember&quot;, Arial, sans-serif"/>
        <color rgb="FF1155CC"/>
        <sz val="11.0"/>
        <u/>
      </rPr>
      <t>Shrek 2</t>
    </r>
  </si>
  <si>
    <r>
      <rPr>
        <rFont val="&quot;Amazon Ember&quot;, Arial, sans-serif"/>
        <color rgb="FF1155CC"/>
        <sz val="11.0"/>
        <u/>
      </rPr>
      <t>The Matrix Reloaded</t>
    </r>
  </si>
  <si>
    <r>
      <rPr>
        <rFont val="&quot;Amazon Ember&quot;, Arial, sans-serif"/>
        <color rgb="FF1155CC"/>
        <sz val="11.0"/>
        <u/>
      </rPr>
      <t>Spider-Man</t>
    </r>
  </si>
  <si>
    <r>
      <rPr>
        <rFont val="&quot;Amazon Ember&quot;, Arial, sans-serif"/>
        <color rgb="FF1155CC"/>
        <sz val="11.0"/>
        <u/>
      </rPr>
      <t>Shrek</t>
    </r>
  </si>
  <si>
    <r>
      <rPr>
        <rFont val="&quot;Amazon Ember&quot;, Arial, sans-serif"/>
        <color rgb="FF1155CC"/>
        <sz val="11.0"/>
        <u/>
      </rPr>
      <t>Mission: Impossible II</t>
    </r>
  </si>
  <si>
    <r>
      <rPr>
        <rFont val="&quot;Amazon Ember&quot;, Arial, sans-serif"/>
        <color rgb="FF1155CC"/>
        <sz val="11.0"/>
        <u/>
      </rPr>
      <t>Star Wars: Episode I - The Phantom Menace</t>
    </r>
  </si>
  <si>
    <r>
      <rPr>
        <rFont val="&quot;Amazon Ember&quot;, Arial, sans-serif"/>
        <color rgb="FF1155CC"/>
        <sz val="11.0"/>
        <u/>
      </rPr>
      <t>Deep Impact</t>
    </r>
  </si>
  <si>
    <r>
      <rPr>
        <rFont val="&quot;Amazon Ember&quot;, Arial, sans-serif"/>
        <color rgb="FF1155CC"/>
        <sz val="11.0"/>
        <u/>
      </rPr>
      <t>The Lost World: Jurassic Park</t>
    </r>
  </si>
  <si>
    <r>
      <rPr>
        <rFont val="&quot;Amazon Ember&quot;, Arial, sans-serif"/>
        <color rgb="FF1155CC"/>
        <sz val="11.0"/>
        <u/>
      </rPr>
      <t>Twister</t>
    </r>
  </si>
  <si>
    <r>
      <rPr>
        <rFont val="&quot;Amazon Ember&quot;, Arial, sans-serif"/>
        <color rgb="FF1155CC"/>
        <sz val="11.0"/>
        <u/>
      </rPr>
      <t>Batman Forever</t>
    </r>
  </si>
  <si>
    <r>
      <rPr>
        <rFont val="&quot;Amazon Ember&quot;, Arial, sans-serif"/>
        <color rgb="FF1155CC"/>
        <sz val="11.0"/>
        <u/>
      </rPr>
      <t>The Flintstones</t>
    </r>
  </si>
  <si>
    <r>
      <rPr>
        <rFont val="&quot;Amazon Ember&quot;, Arial, sans-serif"/>
        <color rgb="FF1155CC"/>
        <sz val="11.0"/>
        <u/>
      </rPr>
      <t>Jurassic Park</t>
    </r>
  </si>
  <si>
    <r>
      <rPr>
        <rFont val="&quot;Amazon Ember&quot;, Arial, sans-serif"/>
        <color rgb="FF1155CC"/>
        <sz val="11.0"/>
        <u/>
      </rPr>
      <t>Lethal Weapon 3</t>
    </r>
  </si>
  <si>
    <r>
      <rPr>
        <rFont val="&quot;Amazon Ember&quot;, Arial, sans-serif"/>
        <color rgb="FF1155CC"/>
        <sz val="11.0"/>
        <u/>
      </rPr>
      <t>Robin Hood: Prince of Thieves</t>
    </r>
  </si>
  <si>
    <r>
      <rPr>
        <rFont val="&quot;Amazon Ember&quot;, Arial, sans-serif"/>
        <color rgb="FF1155CC"/>
        <sz val="11.0"/>
        <u/>
      </rPr>
      <t>Pretty Woman</t>
    </r>
  </si>
  <si>
    <r>
      <rPr>
        <rFont val="&quot;Amazon Ember&quot;, Arial, sans-serif"/>
        <color rgb="FF1155CC"/>
        <sz val="11.0"/>
        <u/>
      </rPr>
      <t>Indiana Jones and the Last Crusade</t>
    </r>
  </si>
  <si>
    <r>
      <rPr>
        <rFont val="&quot;Amazon Ember&quot;, Arial, sans-serif"/>
        <color rgb="FF1155CC"/>
        <sz val="11.0"/>
        <u/>
      </rPr>
      <t>Crocodile Dundee II</t>
    </r>
  </si>
  <si>
    <r>
      <rPr>
        <rFont val="&quot;Amazon Ember&quot;, Arial, sans-serif"/>
        <color rgb="FF1155CC"/>
        <sz val="11.0"/>
        <u/>
      </rPr>
      <t>Beverly Hills Cop II</t>
    </r>
  </si>
  <si>
    <r>
      <rPr>
        <rFont val="&quot;Amazon Ember&quot;, Arial, sans-serif"/>
        <color rgb="FF1155CC"/>
        <sz val="11.0"/>
        <u/>
      </rPr>
      <t>Top Gun</t>
    </r>
  </si>
  <si>
    <r>
      <rPr>
        <rFont val="&quot;Amazon Ember&quot;, Arial, sans-serif"/>
        <color rgb="FF1155CC"/>
        <sz val="11.0"/>
        <u/>
      </rPr>
      <t>Rambo: First Blood Part II</t>
    </r>
  </si>
  <si>
    <r>
      <rPr>
        <rFont val="&quot;Amazon Ember&quot;, Arial, sans-serif"/>
        <color rgb="FF1155CC"/>
        <sz val="11.0"/>
        <u/>
      </rPr>
      <t>Indiana Jones and the Temple of Doom</t>
    </r>
  </si>
  <si>
    <r>
      <rPr>
        <rFont val="&quot;Amazon Ember&quot;, Arial, sans-serif"/>
        <color rgb="FF1155CC"/>
        <sz val="11.0"/>
        <u/>
      </rPr>
      <t>Star Wars: Episode VI - Return of the Jedi</t>
    </r>
  </si>
  <si>
    <r>
      <rPr>
        <rFont val="&quot;Amazon Ember&quot;, Arial, sans-serif"/>
        <color rgb="FF1155CC"/>
        <sz val="11.0"/>
        <u/>
      </rPr>
      <t>Porky's</t>
    </r>
  </si>
  <si>
    <r>
      <rPr>
        <rFont val="&quot;Amazon Ember&quot;, Arial, sans-serif"/>
        <color rgb="FF1155CC"/>
        <sz val="11.0"/>
        <u/>
      </rPr>
      <t>Stripes</t>
    </r>
  </si>
  <si>
    <r>
      <rPr>
        <rFont val="&quot;Amazon Ember&quot;, Arial, sans-serif"/>
        <color rgb="FF1155CC"/>
        <sz val="11.0"/>
        <u/>
      </rPr>
      <t>Star Wars: Episode V - The Empire Strikes Back</t>
    </r>
  </si>
  <si>
    <r>
      <rPr>
        <rFont val="&quot;Amazon Ember&quot;, Arial, sans-serif"/>
        <color rgb="FF1155CC"/>
        <sz val="11.0"/>
        <u/>
      </rPr>
      <t>Rocky II</t>
    </r>
  </si>
  <si>
    <r>
      <rPr>
        <rFont val="&quot;Amazon Ember&quot;, Arial, sans-serif"/>
        <color rgb="FF1155CC"/>
        <sz val="11.0"/>
        <u/>
      </rPr>
      <t>Grease</t>
    </r>
  </si>
  <si>
    <r>
      <rPr>
        <rFont val="&quot;Amazon Ember&quot;, Arial, sans-serif"/>
        <color rgb="FF1155CC"/>
        <sz val="11.0"/>
        <u/>
      </rPr>
      <t>The Deep</t>
    </r>
  </si>
  <si>
    <r>
      <rPr>
        <rFont val="&quot;Amazon Ember&quot;, Arial, sans-serif"/>
        <color rgb="FF1155CC"/>
        <sz val="11.0"/>
        <u/>
      </rPr>
      <t>The Omen</t>
    </r>
  </si>
  <si>
    <r>
      <rPr>
        <rFont val="&quot;Amazon Ember&quot;, Arial, sans-serif"/>
        <color rgb="FF1155CC"/>
        <sz val="11.0"/>
        <u/>
      </rPr>
      <t>Jaws</t>
    </r>
  </si>
  <si>
    <r>
      <rPr>
        <rFont val="&quot;Amazon Ember&quot;, Arial, sans-serif"/>
        <color rgb="FF1155CC"/>
        <sz val="11.0"/>
        <u/>
      </rPr>
      <t>Superman</t>
    </r>
  </si>
  <si>
    <t>Q3</t>
  </si>
  <si>
    <r>
      <rPr>
        <rFont val="&quot;Amazon Ember&quot;, Arial, sans-serif"/>
        <color rgb="FF1155CC"/>
        <sz val="11.0"/>
        <u/>
      </rPr>
      <t>Deadpool &amp; Wolverine</t>
    </r>
  </si>
  <si>
    <r>
      <rPr>
        <rFont val="&quot;Amazon Ember&quot;, Arial, sans-serif"/>
        <color rgb="FF1155CC"/>
        <sz val="11.0"/>
        <u/>
      </rPr>
      <t>Barbie</t>
    </r>
  </si>
  <si>
    <r>
      <rPr>
        <rFont val="&quot;Amazon Ember&quot;, Arial, sans-serif"/>
        <color rgb="FF1155CC"/>
        <sz val="11.0"/>
        <u/>
      </rPr>
      <t>Minions: The Rise of Gru</t>
    </r>
  </si>
  <si>
    <r>
      <rPr>
        <rFont val="&quot;Amazon Ember&quot;, Arial, sans-serif"/>
        <color rgb="FF1155CC"/>
        <sz val="11.0"/>
        <u/>
      </rPr>
      <t>Shang-Chi and the Legend of the Ten Rings</t>
    </r>
  </si>
  <si>
    <r>
      <rPr>
        <rFont val="&quot;Amazon Ember&quot;, Arial, sans-serif"/>
        <color rgb="FF1155CC"/>
        <sz val="11.0"/>
        <u/>
      </rPr>
      <t>Tenet</t>
    </r>
  </si>
  <si>
    <r>
      <rPr>
        <rFont val="&quot;Amazon Ember&quot;, Arial, sans-serif"/>
        <color rgb="FF1155CC"/>
        <sz val="11.0"/>
        <u/>
      </rPr>
      <t>The Lion King</t>
    </r>
  </si>
  <si>
    <r>
      <rPr>
        <rFont val="&quot;Amazon Ember&quot;, Arial, sans-serif"/>
        <color rgb="FF1155CC"/>
        <sz val="11.0"/>
        <u/>
      </rPr>
      <t>Mission: Impossible - Fallout</t>
    </r>
  </si>
  <si>
    <r>
      <rPr>
        <rFont val="&quot;Amazon Ember&quot;, Arial, sans-serif"/>
        <color rgb="FF1155CC"/>
        <sz val="11.0"/>
        <u/>
      </rPr>
      <t>Spider-Man: Homecoming</t>
    </r>
  </si>
  <si>
    <r>
      <rPr>
        <rFont val="&quot;Amazon Ember&quot;, Arial, sans-serif"/>
        <color rgb="FF1155CC"/>
        <sz val="11.0"/>
        <u/>
      </rPr>
      <t>The Secret Life of Pets</t>
    </r>
  </si>
  <si>
    <r>
      <rPr>
        <rFont val="&quot;Amazon Ember&quot;, Arial, sans-serif"/>
        <color rgb="FF1155CC"/>
        <sz val="11.0"/>
        <u/>
      </rPr>
      <t>Minions</t>
    </r>
  </si>
  <si>
    <r>
      <rPr>
        <rFont val="&quot;Amazon Ember&quot;, Arial, sans-serif"/>
        <color rgb="FF1155CC"/>
        <sz val="11.0"/>
        <u/>
      </rPr>
      <t>Guardians of the Galaxy</t>
    </r>
  </si>
  <si>
    <r>
      <rPr>
        <rFont val="&quot;Amazon Ember&quot;, Arial, sans-serif"/>
        <color rgb="FF1155CC"/>
        <sz val="11.0"/>
        <u/>
      </rPr>
      <t>Despicable Me 2</t>
    </r>
  </si>
  <si>
    <r>
      <rPr>
        <rFont val="&quot;Amazon Ember&quot;, Arial, sans-serif"/>
        <color rgb="FF1155CC"/>
        <sz val="11.0"/>
        <u/>
      </rPr>
      <t>The Dark Knight Rises</t>
    </r>
  </si>
  <si>
    <r>
      <rPr>
        <rFont val="&quot;Amazon Ember&quot;, Arial, sans-serif"/>
        <color rgb="FF1155CC"/>
        <sz val="11.0"/>
        <u/>
      </rPr>
      <t>Harry Potter and the Deathly Hallows: Part 2</t>
    </r>
  </si>
  <si>
    <r>
      <rPr>
        <rFont val="&quot;Amazon Ember&quot;, Arial, sans-serif"/>
        <color rgb="FF1155CC"/>
        <sz val="11.0"/>
        <u/>
      </rPr>
      <t>Inception</t>
    </r>
  </si>
  <si>
    <r>
      <rPr>
        <rFont val="&quot;Amazon Ember&quot;, Arial, sans-serif"/>
        <color rgb="FF1155CC"/>
        <sz val="11.0"/>
        <u/>
      </rPr>
      <t>Harry Potter and the Half-Blood Prince</t>
    </r>
  </si>
  <si>
    <r>
      <rPr>
        <rFont val="&quot;Amazon Ember&quot;, Arial, sans-serif"/>
        <color rgb="FF1155CC"/>
        <sz val="11.0"/>
        <u/>
      </rPr>
      <t>The Dark Knight</t>
    </r>
  </si>
  <si>
    <r>
      <rPr>
        <rFont val="&quot;Amazon Ember&quot;, Arial, sans-serif"/>
        <color rgb="FF1155CC"/>
        <sz val="11.0"/>
        <u/>
      </rPr>
      <t>Transformers</t>
    </r>
  </si>
  <si>
    <r>
      <rPr>
        <rFont val="&quot;Amazon Ember&quot;, Arial, sans-serif"/>
        <color rgb="FF1155CC"/>
        <sz val="11.0"/>
        <u/>
      </rPr>
      <t>Pirates of the Caribbean: Dead Man's Chest</t>
    </r>
  </si>
  <si>
    <r>
      <rPr>
        <rFont val="&quot;Amazon Ember&quot;, Arial, sans-serif"/>
        <color rgb="FF1155CC"/>
        <sz val="11.0"/>
        <u/>
      </rPr>
      <t>Wedding Crashers</t>
    </r>
  </si>
  <si>
    <r>
      <rPr>
        <rFont val="&quot;Amazon Ember&quot;, Arial, sans-serif"/>
        <color rgb="FF1155CC"/>
        <sz val="11.0"/>
        <u/>
      </rPr>
      <t>Spider-Man 2</t>
    </r>
  </si>
  <si>
    <r>
      <rPr>
        <rFont val="&quot;Amazon Ember&quot;, Arial, sans-serif"/>
        <color rgb="FF1155CC"/>
        <sz val="11.0"/>
        <u/>
      </rPr>
      <t>Pirates of the Caribbean: The Curse of the Black Pearl</t>
    </r>
  </si>
  <si>
    <r>
      <rPr>
        <rFont val="&quot;Amazon Ember&quot;, Arial, sans-serif"/>
        <color rgb="FF1155CC"/>
        <sz val="11.0"/>
        <u/>
      </rPr>
      <t>Signs</t>
    </r>
  </si>
  <si>
    <r>
      <rPr>
        <rFont val="&quot;Amazon Ember&quot;, Arial, sans-serif"/>
        <color rgb="FF1155CC"/>
        <sz val="11.0"/>
        <u/>
      </rPr>
      <t>Rush Hour 2</t>
    </r>
  </si>
  <si>
    <r>
      <rPr>
        <rFont val="&quot;Amazon Ember&quot;, Arial, sans-serif"/>
        <color rgb="FF1155CC"/>
        <sz val="11.0"/>
        <u/>
      </rPr>
      <t>The Perfect Storm</t>
    </r>
  </si>
  <si>
    <r>
      <rPr>
        <rFont val="&quot;Amazon Ember&quot;, Arial, sans-serif"/>
        <color rgb="FF1155CC"/>
        <sz val="11.0"/>
        <u/>
      </rPr>
      <t>The Sixth Sense</t>
    </r>
  </si>
  <si>
    <r>
      <rPr>
        <rFont val="&quot;Amazon Ember&quot;, Arial, sans-serif"/>
        <color rgb="FF1155CC"/>
        <sz val="11.0"/>
        <u/>
      </rPr>
      <t>Armageddon</t>
    </r>
  </si>
  <si>
    <r>
      <rPr>
        <rFont val="&quot;Amazon Ember&quot;, Arial, sans-serif"/>
        <color rgb="FF1155CC"/>
        <sz val="11.0"/>
        <u/>
      </rPr>
      <t>Men in Black</t>
    </r>
  </si>
  <si>
    <r>
      <rPr>
        <rFont val="&quot;Amazon Ember&quot;, Arial, sans-serif"/>
        <color rgb="FF1155CC"/>
        <sz val="11.0"/>
        <u/>
      </rPr>
      <t>Independence Day</t>
    </r>
  </si>
  <si>
    <r>
      <rPr>
        <rFont val="&quot;Amazon Ember&quot;, Arial, sans-serif"/>
        <color rgb="FF1155CC"/>
        <sz val="11.0"/>
        <u/>
      </rPr>
      <t>Apollo 13</t>
    </r>
  </si>
  <si>
    <r>
      <rPr>
        <rFont val="&quot;Amazon Ember&quot;, Arial, sans-serif"/>
        <color rgb="FF1155CC"/>
        <sz val="11.0"/>
        <u/>
      </rPr>
      <t>Forrest Gump</t>
    </r>
  </si>
  <si>
    <r>
      <rPr>
        <rFont val="&quot;Amazon Ember&quot;, Arial, sans-serif"/>
        <color rgb="FF1155CC"/>
        <sz val="11.0"/>
        <u/>
      </rPr>
      <t>The Fugitive</t>
    </r>
  </si>
  <si>
    <r>
      <rPr>
        <rFont val="&quot;Amazon Ember&quot;, Arial, sans-serif"/>
        <color rgb="FF1155CC"/>
        <sz val="11.0"/>
        <u/>
      </rPr>
      <t>A League of Their Own</t>
    </r>
  </si>
  <si>
    <r>
      <rPr>
        <rFont val="&quot;Amazon Ember&quot;, Arial, sans-serif"/>
        <color rgb="FF1155CC"/>
        <sz val="11.0"/>
        <u/>
      </rPr>
      <t>Terminator 2: Judgment Day</t>
    </r>
  </si>
  <si>
    <r>
      <rPr>
        <rFont val="&quot;Amazon Ember&quot;, Arial, sans-serif"/>
        <color rgb="FF1155CC"/>
        <sz val="11.0"/>
        <u/>
      </rPr>
      <t>Ghost</t>
    </r>
  </si>
  <si>
    <r>
      <rPr>
        <rFont val="&quot;Amazon Ember&quot;, Arial, sans-serif"/>
        <color rgb="FF1155CC"/>
        <sz val="11.0"/>
        <u/>
      </rPr>
      <t>Batman</t>
    </r>
  </si>
  <si>
    <r>
      <rPr>
        <rFont val="&quot;Amazon Ember&quot;, Arial, sans-serif"/>
        <color rgb="FF1155CC"/>
        <sz val="11.0"/>
        <u/>
      </rPr>
      <t>Coming to America</t>
    </r>
  </si>
  <si>
    <r>
      <rPr>
        <rFont val="&quot;Amazon Ember&quot;, Arial, sans-serif"/>
        <color rgb="FF1155CC"/>
        <sz val="11.0"/>
        <u/>
      </rPr>
      <t>Stakeout</t>
    </r>
  </si>
  <si>
    <r>
      <rPr>
        <rFont val="&quot;Amazon Ember&quot;, Arial, sans-serif"/>
        <color rgb="FF1155CC"/>
        <sz val="11.0"/>
        <u/>
      </rPr>
      <t>The Karate Kid Part II</t>
    </r>
  </si>
  <si>
    <r>
      <rPr>
        <rFont val="&quot;Amazon Ember&quot;, Arial, sans-serif"/>
        <color rgb="FF1155CC"/>
        <sz val="11.0"/>
        <u/>
      </rPr>
      <t>Back to the Future</t>
    </r>
  </si>
  <si>
    <r>
      <rPr>
        <rFont val="&quot;Amazon Ember&quot;, Arial, sans-serif"/>
        <color rgb="FF1155CC"/>
        <sz val="11.0"/>
        <u/>
      </rPr>
      <t>Ghostbusters</t>
    </r>
  </si>
  <si>
    <r>
      <rPr>
        <rFont val="&quot;Amazon Ember&quot;, Arial, sans-serif"/>
        <color rgb="FF1155CC"/>
        <sz val="11.0"/>
        <u/>
      </rPr>
      <t>Star Wars: Episode VI - Return of the Jedi</t>
    </r>
  </si>
  <si>
    <r>
      <rPr>
        <rFont val="&quot;Amazon Ember&quot;, Arial, sans-serif"/>
        <color rgb="FF1155CC"/>
        <sz val="11.0"/>
        <u/>
      </rPr>
      <t>E.T. the Extra-Terrestrial</t>
    </r>
  </si>
  <si>
    <r>
      <rPr>
        <rFont val="&quot;Amazon Ember&quot;, Arial, sans-serif"/>
        <color rgb="FF1155CC"/>
        <sz val="11.0"/>
        <u/>
      </rPr>
      <t>Superman II</t>
    </r>
  </si>
  <si>
    <r>
      <rPr>
        <rFont val="&quot;Amazon Ember&quot;, Arial, sans-serif"/>
        <color rgb="FF1155CC"/>
        <sz val="11.0"/>
        <u/>
      </rPr>
      <t>Star Wars: Episode V - The Empire Strikes Back</t>
    </r>
  </si>
  <si>
    <r>
      <rPr>
        <rFont val="&quot;Amazon Ember&quot;, Arial, sans-serif"/>
        <color rgb="FF1155CC"/>
        <sz val="11.0"/>
        <u/>
      </rPr>
      <t>The Amityville Horror</t>
    </r>
  </si>
  <si>
    <r>
      <rPr>
        <rFont val="&quot;Amazon Ember&quot;, Arial, sans-serif"/>
        <color rgb="FF1155CC"/>
        <sz val="11.0"/>
        <u/>
      </rPr>
      <t>National Lampoon's Animal House</t>
    </r>
  </si>
  <si>
    <r>
      <rPr>
        <rFont val="&quot;Amazon Ember&quot;, Arial, sans-serif"/>
        <color rgb="FF1155CC"/>
        <sz val="11.0"/>
        <u/>
      </rPr>
      <t>Star Wars: Episode IV - A New Hope</t>
    </r>
  </si>
  <si>
    <r>
      <rPr>
        <rFont val="&quot;Amazon Ember&quot;, Arial, sans-serif"/>
        <color rgb="FF1155CC"/>
        <sz val="11.0"/>
        <u/>
      </rPr>
      <t>The Omen</t>
    </r>
  </si>
  <si>
    <r>
      <rPr>
        <rFont val="&quot;Amazon Ember&quot;, Arial, sans-serif"/>
        <color rgb="FF1155CC"/>
        <sz val="11.0"/>
        <u/>
      </rPr>
      <t>Jaws</t>
    </r>
  </si>
  <si>
    <r>
      <rPr>
        <rFont val="&quot;Amazon Ember&quot;, Arial, sans-serif"/>
        <color rgb="FF1155CC"/>
        <sz val="11.0"/>
        <u/>
      </rPr>
      <t>Wicked</t>
    </r>
  </si>
  <si>
    <t>Q4</t>
  </si>
  <si>
    <r>
      <rPr>
        <rFont val="&quot;Amazon Ember&quot;, Arial, sans-serif"/>
        <color rgb="FF1155CC"/>
        <sz val="11.0"/>
        <u/>
      </rPr>
      <t>Taylor Swift: The Eras Tour</t>
    </r>
  </si>
  <si>
    <r>
      <rPr>
        <rFont val="&quot;Amazon Ember&quot;, Arial, sans-serif"/>
        <color rgb="FF1155CC"/>
        <sz val="11.0"/>
        <u/>
      </rPr>
      <t>Black Panther: Wakanda Forever</t>
    </r>
  </si>
  <si>
    <r>
      <rPr>
        <rFont val="&quot;Amazon Ember&quot;, Arial, sans-serif"/>
        <color rgb="FF1155CC"/>
        <sz val="11.0"/>
        <u/>
      </rPr>
      <t>Spider-Man: No Way Home</t>
    </r>
  </si>
  <si>
    <r>
      <rPr>
        <rFont val="&quot;Amazon Ember&quot;, Arial, sans-serif"/>
        <color rgb="FF1155CC"/>
        <sz val="11.0"/>
        <u/>
      </rPr>
      <t>The Croods: A New Age</t>
    </r>
  </si>
  <si>
    <r>
      <rPr>
        <rFont val="&quot;Amazon Ember&quot;, Arial, sans-serif"/>
        <color rgb="FF1155CC"/>
        <sz val="11.0"/>
        <u/>
      </rPr>
      <t>Frozen II</t>
    </r>
  </si>
  <si>
    <r>
      <rPr>
        <rFont val="&quot;Amazon Ember&quot;, Arial, sans-serif"/>
        <color rgb="FF1155CC"/>
        <sz val="11.0"/>
        <u/>
      </rPr>
      <t>The Grinch</t>
    </r>
  </si>
  <si>
    <r>
      <rPr>
        <rFont val="&quot;Amazon Ember&quot;, Arial, sans-serif"/>
        <color rgb="FF1155CC"/>
        <sz val="11.0"/>
        <u/>
      </rPr>
      <t>Star Wars: Episode VIII - The Last Jedi</t>
    </r>
  </si>
  <si>
    <r>
      <rPr>
        <rFont val="&quot;Amazon Ember&quot;, Arial, sans-serif"/>
        <color rgb="FF1155CC"/>
        <sz val="11.0"/>
        <u/>
      </rPr>
      <t>Rogue One: A Star Wars Story</t>
    </r>
  </si>
  <si>
    <r>
      <rPr>
        <rFont val="&quot;Amazon Ember&quot;, Arial, sans-serif"/>
        <color rgb="FF1155CC"/>
        <sz val="11.0"/>
        <u/>
      </rPr>
      <t>Star Wars: Episode VII - The Force Awakens</t>
    </r>
  </si>
  <si>
    <r>
      <rPr>
        <rFont val="&quot;Amazon Ember&quot;, Arial, sans-serif"/>
        <color rgb="FF1155CC"/>
        <sz val="11.0"/>
        <u/>
      </rPr>
      <t>The Hunger Games: Mockingjay - Part 1</t>
    </r>
  </si>
  <si>
    <r>
      <rPr>
        <rFont val="&quot;Amazon Ember&quot;, Arial, sans-serif"/>
        <color rgb="FF1155CC"/>
        <sz val="11.0"/>
        <u/>
      </rPr>
      <t>The Hunger Games: Catching Fire</t>
    </r>
  </si>
  <si>
    <r>
      <rPr>
        <rFont val="&quot;Amazon Ember&quot;, Arial, sans-serif"/>
        <color rgb="FF1155CC"/>
        <sz val="11.0"/>
        <u/>
      </rPr>
      <t>Skyfall</t>
    </r>
  </si>
  <si>
    <r>
      <rPr>
        <rFont val="&quot;Amazon Ember&quot;, Arial, sans-serif"/>
        <color rgb="FF1155CC"/>
        <sz val="11.0"/>
        <u/>
      </rPr>
      <t>The Twilight Saga: Breaking Dawn - Part 1</t>
    </r>
  </si>
  <si>
    <r>
      <rPr>
        <rFont val="&quot;Amazon Ember&quot;, Arial, sans-serif"/>
        <color rgb="FF1155CC"/>
        <sz val="11.0"/>
        <u/>
      </rPr>
      <t>Harry Potter and the Deathly Hallows: Part 1</t>
    </r>
  </si>
  <si>
    <r>
      <rPr>
        <rFont val="&quot;Amazon Ember&quot;, Arial, sans-serif"/>
        <color rgb="FF1155CC"/>
        <sz val="11.0"/>
        <u/>
      </rPr>
      <t>The Twilight Saga: New Moon</t>
    </r>
  </si>
  <si>
    <r>
      <rPr>
        <rFont val="&quot;Amazon Ember&quot;, Arial, sans-serif"/>
        <color rgb="FF1155CC"/>
        <sz val="11.0"/>
        <u/>
      </rPr>
      <t>Madagascar: Escape 2 Africa</t>
    </r>
  </si>
  <si>
    <r>
      <rPr>
        <rFont val="&quot;Amazon Ember&quot;, Arial, sans-serif"/>
        <color rgb="FF1155CC"/>
        <sz val="11.0"/>
        <u/>
      </rPr>
      <t>I Am Legend</t>
    </r>
  </si>
  <si>
    <r>
      <rPr>
        <rFont val="&quot;Amazon Ember&quot;, Arial, sans-serif"/>
        <color rgb="FF1155CC"/>
        <sz val="11.0"/>
        <u/>
      </rPr>
      <t>Happy Feet</t>
    </r>
  </si>
  <si>
    <r>
      <rPr>
        <rFont val="&quot;Amazon Ember&quot;, Arial, sans-serif"/>
        <color rgb="FF1155CC"/>
        <sz val="11.0"/>
        <u/>
      </rPr>
      <t>Harry Potter and the Goblet of Fire</t>
    </r>
  </si>
  <si>
    <r>
      <rPr>
        <rFont val="&quot;Amazon Ember&quot;, Arial, sans-serif"/>
        <color rgb="FF1155CC"/>
        <sz val="11.0"/>
        <u/>
      </rPr>
      <t>The Incredibles</t>
    </r>
  </si>
  <si>
    <r>
      <rPr>
        <rFont val="&quot;Amazon Ember&quot;, Arial, sans-serif"/>
        <color rgb="FF1155CC"/>
        <sz val="11.0"/>
        <u/>
      </rPr>
      <t>The Lord of the Rings: The Return of the King</t>
    </r>
  </si>
  <si>
    <r>
      <rPr>
        <rFont val="&quot;Amazon Ember&quot;, Arial, sans-serif"/>
        <color rgb="FF1155CC"/>
        <sz val="11.0"/>
        <u/>
      </rPr>
      <t>Harry Potter and the Chamber of Secrets</t>
    </r>
  </si>
  <si>
    <r>
      <rPr>
        <rFont val="&quot;Amazon Ember&quot;, Arial, sans-serif"/>
        <color rgb="FF1155CC"/>
        <sz val="11.0"/>
        <u/>
      </rPr>
      <t>Harry Potter and the Sorcerer's Stone</t>
    </r>
  </si>
  <si>
    <r>
      <rPr>
        <rFont val="&quot;Amazon Ember&quot;, Arial, sans-serif"/>
        <color rgb="FF1155CC"/>
        <sz val="11.0"/>
        <u/>
      </rPr>
      <t>How the Grinch Stole Christmas</t>
    </r>
  </si>
  <si>
    <r>
      <rPr>
        <rFont val="&quot;Amazon Ember&quot;, Arial, sans-serif"/>
        <color rgb="FF1155CC"/>
        <sz val="11.0"/>
        <u/>
      </rPr>
      <t>Toy Story 2</t>
    </r>
  </si>
  <si>
    <r>
      <rPr>
        <rFont val="&quot;Amazon Ember&quot;, Arial, sans-serif"/>
        <color rgb="FF1155CC"/>
        <sz val="11.0"/>
        <u/>
      </rPr>
      <t>The Waterboy</t>
    </r>
  </si>
  <si>
    <r>
      <rPr>
        <rFont val="&quot;Amazon Ember&quot;, Arial, sans-serif"/>
        <color rgb="FF1155CC"/>
        <sz val="11.0"/>
        <u/>
      </rPr>
      <t>Titanic</t>
    </r>
  </si>
  <si>
    <r>
      <rPr>
        <rFont val="&quot;Amazon Ember&quot;, Arial, sans-serif"/>
        <color rgb="FF1155CC"/>
        <sz val="11.0"/>
        <u/>
      </rPr>
      <t>Ransom</t>
    </r>
  </si>
  <si>
    <r>
      <rPr>
        <rFont val="&quot;Amazon Ember&quot;, Arial, sans-serif"/>
        <color rgb="FF1155CC"/>
        <sz val="11.0"/>
        <u/>
      </rPr>
      <t>Toy Story</t>
    </r>
  </si>
  <si>
    <r>
      <rPr>
        <rFont val="&quot;Amazon Ember&quot;, Arial, sans-serif"/>
        <color rgb="FF1155CC"/>
        <sz val="11.0"/>
        <u/>
      </rPr>
      <t>The Santa Clause</t>
    </r>
  </si>
  <si>
    <r>
      <rPr>
        <rFont val="&quot;Amazon Ember&quot;, Arial, sans-serif"/>
        <color rgb="FF1155CC"/>
        <sz val="11.0"/>
        <u/>
      </rPr>
      <t>Mrs. Doubtfire</t>
    </r>
  </si>
  <si>
    <r>
      <rPr>
        <rFont val="&quot;Amazon Ember&quot;, Arial, sans-serif"/>
        <color rgb="FF1155CC"/>
        <sz val="11.0"/>
        <u/>
      </rPr>
      <t>Home Alone 2: Lost in New York</t>
    </r>
  </si>
  <si>
    <r>
      <rPr>
        <rFont val="&quot;Amazon Ember&quot;, Arial, sans-serif"/>
        <color rgb="FF1155CC"/>
        <sz val="11.0"/>
        <u/>
      </rPr>
      <t>The Addams Family</t>
    </r>
  </si>
  <si>
    <r>
      <rPr>
        <rFont val="&quot;Amazon Ember&quot;, Arial, sans-serif"/>
        <color rgb="FF1155CC"/>
        <sz val="11.0"/>
        <u/>
      </rPr>
      <t>Home Alone</t>
    </r>
  </si>
  <si>
    <r>
      <rPr>
        <rFont val="&quot;Amazon Ember&quot;, Arial, sans-serif"/>
        <color rgb="FF1155CC"/>
        <sz val="11.0"/>
        <u/>
      </rPr>
      <t>Look Who's Talking</t>
    </r>
  </si>
  <si>
    <r>
      <rPr>
        <rFont val="&quot;Amazon Ember&quot;, Arial, sans-serif"/>
        <color rgb="FF1155CC"/>
        <sz val="11.0"/>
        <u/>
      </rPr>
      <t>Scrooged</t>
    </r>
  </si>
  <si>
    <r>
      <rPr>
        <rFont val="&quot;Amazon Ember&quot;, Arial, sans-serif"/>
        <color rgb="FF1155CC"/>
        <sz val="11.0"/>
        <u/>
      </rPr>
      <t>Fatal Attraction</t>
    </r>
  </si>
  <si>
    <r>
      <rPr>
        <rFont val="&quot;Amazon Ember&quot;, Arial, sans-serif"/>
        <color rgb="FF1155CC"/>
        <sz val="11.0"/>
        <u/>
      </rPr>
      <t>Crocodile Dundee</t>
    </r>
  </si>
  <si>
    <r>
      <rPr>
        <rFont val="&quot;Amazon Ember&quot;, Arial, sans-serif"/>
        <color rgb="FF1155CC"/>
        <sz val="11.0"/>
        <u/>
      </rPr>
      <t>Rocky IV</t>
    </r>
  </si>
  <si>
    <r>
      <rPr>
        <rFont val="&quot;Amazon Ember&quot;, Arial, sans-serif"/>
        <color rgb="FF1155CC"/>
        <sz val="11.0"/>
        <u/>
      </rPr>
      <t>Beverly Hills Cop</t>
    </r>
  </si>
  <si>
    <r>
      <rPr>
        <rFont val="&quot;Amazon Ember&quot;, Arial, sans-serif"/>
        <color rgb="FF1155CC"/>
        <sz val="11.0"/>
        <u/>
      </rPr>
      <t>Never Say Never Again</t>
    </r>
  </si>
  <si>
    <r>
      <rPr>
        <rFont val="&quot;Amazon Ember&quot;, Arial, sans-serif"/>
        <color rgb="FF1155CC"/>
        <sz val="11.0"/>
        <u/>
      </rPr>
      <t>E.T. the Extra-Terrestrial</t>
    </r>
  </si>
  <si>
    <r>
      <rPr>
        <rFont val="&quot;Amazon Ember&quot;, Arial, sans-serif"/>
        <color rgb="FF1155CC"/>
        <sz val="11.0"/>
        <u/>
      </rPr>
      <t>Halloween II</t>
    </r>
  </si>
  <si>
    <r>
      <rPr>
        <rFont val="&quot;Amazon Ember&quot;, Arial, sans-serif"/>
        <color rgb="FF1155CC"/>
        <sz val="11.0"/>
        <u/>
      </rPr>
      <t>9 to 5</t>
    </r>
  </si>
  <si>
    <r>
      <rPr>
        <rFont val="&quot;Amazon Ember&quot;, Arial, sans-serif"/>
        <color rgb="FF1155CC"/>
        <sz val="11.0"/>
        <u/>
      </rPr>
      <t>Star Trek: The Motion Picture</t>
    </r>
  </si>
  <si>
    <r>
      <rPr>
        <rFont val="&quot;Amazon Ember&quot;, Arial, sans-serif"/>
        <color rgb="FF1155CC"/>
        <sz val="11.0"/>
        <u/>
      </rPr>
      <t>Every Which Way But Loose</t>
    </r>
  </si>
  <si>
    <r>
      <rPr>
        <rFont val="&quot;Amazon Ember&quot;, Arial, sans-serif"/>
        <color rgb="FF1155CC"/>
        <sz val="11.0"/>
        <u/>
      </rPr>
      <t>Star Wars: Episode IV - A New Hope</t>
    </r>
  </si>
  <si>
    <r>
      <rPr>
        <rFont val="&quot;Amazon Ember&quot;, Arial, sans-serif"/>
        <color rgb="FF1155CC"/>
        <sz val="11.0"/>
        <u/>
      </rPr>
      <t>King Kong</t>
    </r>
  </si>
  <si>
    <r>
      <rPr>
        <rFont val="&quot;Amazon Ember&quot;, Arial, sans-serif"/>
        <color rgb="FF1155CC"/>
        <sz val="11.0"/>
        <u/>
      </rPr>
      <t>Jaws</t>
    </r>
  </si>
  <si>
    <r>
      <rPr>
        <rFont val="&quot;Amazon Ember&quot;, Arial, sans-serif"/>
        <color rgb="FF1155CC"/>
        <sz val="11.0"/>
        <u/>
      </rPr>
      <t>The Poseidon Adventure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</si>
</sst>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&quot;$&quot;#,##0"/>
  </numFmts>
  <fonts count="24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b/>
      <sz val="14.0"/>
      <color rgb="FF0F1111"/>
      <name val="Arial"/>
    </font>
    <font>
      <sz val="14.0"/>
      <color theme="1"/>
      <name val="Arial"/>
    </font>
    <font>
      <sz val="14.0"/>
      <color rgb="FFC90000"/>
      <name val="Arial"/>
    </font>
    <font>
      <sz val="14.0"/>
      <color rgb="FF438500"/>
      <name val="Arial"/>
    </font>
    <font>
      <b/>
      <sz val="13.0"/>
      <color rgb="FF000000"/>
      <name val="Helvetica Neue"/>
    </font>
    <font>
      <i/>
      <sz val="14.0"/>
      <color rgb="FF000000"/>
      <name val="Helvetica Neue"/>
    </font>
    <font>
      <sz val="14.0"/>
      <color rgb="FF000000"/>
      <name val="Helvetica Neue"/>
    </font>
    <font>
      <u/>
      <color rgb="FF0000FF"/>
    </font>
    <font>
      <b/>
      <u/>
      <color rgb="FF0000FF"/>
      <name val="&quot;Amazon Ember&quot;"/>
    </font>
    <font>
      <b/>
      <color rgb="FF0F1111"/>
      <name val="&quot;Amazon Ember&quot;"/>
    </font>
    <font>
      <u/>
      <color rgb="FF0000FF"/>
      <name val="&quot;Amazon Ember&quot;"/>
    </font>
    <font>
      <color rgb="FF0F1111"/>
      <name val="&quot;Amazon Ember&quot;"/>
    </font>
    <font>
      <color rgb="FFC90000"/>
      <name val="&quot;Amazon Ember&quot;"/>
    </font>
    <font>
      <u/>
      <color rgb="FF0000FF"/>
      <name val="&quot;Amazon Ember&quot;"/>
    </font>
    <font>
      <color rgb="FF438500"/>
      <name val="&quot;Amazon Ember&quot;"/>
    </font>
    <font>
      <u/>
      <sz val="11.0"/>
      <color rgb="FF0000FF"/>
      <name val="&quot;Amazon Ember&quot;"/>
    </font>
    <font>
      <sz val="11.0"/>
      <color rgb="FF0F1111"/>
      <name val="&quot;Amazon Ember&quot;"/>
    </font>
    <font>
      <sz val="11.0"/>
      <color rgb="FF438500"/>
      <name val="&quot;Amazon Ember&quot;"/>
    </font>
    <font>
      <u/>
      <sz val="11.0"/>
      <color rgb="FF0000FF"/>
      <name val="&quot;Amazon Ember&quot;"/>
    </font>
    <font>
      <sz val="11.0"/>
      <color rgb="FFC90000"/>
      <name val="&quot;Amazon Ember&quot;"/>
    </font>
    <font>
      <sz val="11.0"/>
      <color rgb="FF0F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5D9D9"/>
      </left>
      <right style="thin">
        <color rgb="FFD5D9D9"/>
      </right>
      <top style="thin">
        <color rgb="FFD5D9D9"/>
      </top>
    </border>
    <border>
      <left style="thin">
        <color rgb="FFD5D9D9"/>
      </left>
      <right style="thin">
        <color rgb="FFD5D9D9"/>
      </right>
      <bottom style="thin">
        <color rgb="FFD5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0" xfId="0" applyFont="1"/>
    <xf borderId="0" fillId="0" fontId="5" numFmtId="10" xfId="0" applyFont="1" applyNumberFormat="1"/>
    <xf borderId="0" fillId="0" fontId="6" numFmtId="10" xfId="0" applyFont="1" applyNumberFormat="1"/>
    <xf borderId="0" fillId="0" fontId="6" numFmtId="9" xfId="0" applyFont="1" applyNumberFormat="1"/>
    <xf borderId="0" fillId="0" fontId="7" numFmtId="0" xfId="0" applyFont="1"/>
    <xf borderId="0" fillId="0" fontId="8" numFmtId="3" xfId="0" applyFont="1" applyNumberFormat="1"/>
    <xf borderId="0" fillId="0" fontId="8" numFmtId="164" xfId="0" applyFont="1" applyNumberFormat="1"/>
    <xf borderId="0" fillId="0" fontId="9" numFmtId="165" xfId="0" applyFont="1" applyNumberFormat="1"/>
    <xf borderId="0" fillId="0" fontId="9" numFmtId="3" xfId="0" applyFont="1" applyNumberFormat="1"/>
    <xf borderId="0" fillId="0" fontId="9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readingOrder="0" shrinkToFit="0" vertical="top" wrapText="0"/>
    </xf>
    <xf borderId="1" fillId="2" fontId="12" numFmtId="0" xfId="0" applyAlignment="1" applyBorder="1" applyFill="1" applyFont="1">
      <alignment readingOrder="0" shrinkToFit="0" vertical="top" wrapText="0"/>
    </xf>
    <xf borderId="2" fillId="0" fontId="13" numFmtId="0" xfId="0" applyAlignment="1" applyBorder="1" applyFont="1">
      <alignment readingOrder="0" shrinkToFit="0" vertical="top" wrapText="0"/>
    </xf>
    <xf borderId="2" fillId="2" fontId="14" numFmtId="166" xfId="0" applyAlignment="1" applyBorder="1" applyFont="1" applyNumberFormat="1">
      <alignment readingOrder="0" vertical="top"/>
    </xf>
    <xf borderId="2" fillId="2" fontId="15" numFmtId="10" xfId="0" applyAlignment="1" applyBorder="1" applyFont="1" applyNumberFormat="1">
      <alignment readingOrder="0" vertical="top"/>
    </xf>
    <xf borderId="2" fillId="2" fontId="14" numFmtId="0" xfId="0" applyAlignment="1" applyBorder="1" applyFont="1">
      <alignment readingOrder="0" vertical="top"/>
    </xf>
    <xf borderId="2" fillId="0" fontId="16" numFmtId="0" xfId="0" applyAlignment="1" applyBorder="1" applyFont="1">
      <alignment readingOrder="0" vertical="top"/>
    </xf>
    <xf borderId="2" fillId="2" fontId="14" numFmtId="10" xfId="0" applyAlignment="1" applyBorder="1" applyFont="1" applyNumberFormat="1">
      <alignment readingOrder="0" vertical="top"/>
    </xf>
    <xf borderId="2" fillId="2" fontId="17" numFmtId="0" xfId="0" applyAlignment="1" applyBorder="1" applyFont="1">
      <alignment vertical="top"/>
    </xf>
    <xf borderId="2" fillId="2" fontId="14" numFmtId="9" xfId="0" applyAlignment="1" applyBorder="1" applyFont="1" applyNumberFormat="1">
      <alignment readingOrder="0" vertical="top"/>
    </xf>
    <xf borderId="2" fillId="2" fontId="15" numFmtId="9" xfId="0" applyAlignment="1" applyBorder="1" applyFont="1" applyNumberFormat="1">
      <alignment readingOrder="0" vertical="top"/>
    </xf>
    <xf borderId="2" fillId="0" fontId="18" numFmtId="0" xfId="0" applyAlignment="1" applyBorder="1" applyFont="1">
      <alignment readingOrder="0" shrinkToFit="0" vertical="top" wrapText="0"/>
    </xf>
    <xf borderId="2" fillId="2" fontId="19" numFmtId="166" xfId="0" applyAlignment="1" applyBorder="1" applyFont="1" applyNumberFormat="1">
      <alignment readingOrder="0" vertical="top"/>
    </xf>
    <xf borderId="2" fillId="2" fontId="20" numFmtId="0" xfId="0" applyAlignment="1" applyBorder="1" applyFont="1">
      <alignment vertical="top"/>
    </xf>
    <xf borderId="2" fillId="2" fontId="19" numFmtId="0" xfId="0" applyAlignment="1" applyBorder="1" applyFont="1">
      <alignment readingOrder="0" vertical="top"/>
    </xf>
    <xf borderId="2" fillId="0" fontId="21" numFmtId="0" xfId="0" applyAlignment="1" applyBorder="1" applyFont="1">
      <alignment readingOrder="0" vertical="top"/>
    </xf>
    <xf borderId="2" fillId="2" fontId="19" numFmtId="10" xfId="0" applyAlignment="1" applyBorder="1" applyFont="1" applyNumberFormat="1">
      <alignment readingOrder="0" vertical="top"/>
    </xf>
    <xf borderId="2" fillId="2" fontId="22" numFmtId="10" xfId="0" applyAlignment="1" applyBorder="1" applyFont="1" applyNumberFormat="1">
      <alignment readingOrder="0" vertical="top"/>
    </xf>
    <xf borderId="2" fillId="2" fontId="19" numFmtId="9" xfId="0" applyAlignment="1" applyBorder="1" applyFont="1" applyNumberFormat="1">
      <alignment readingOrder="0" vertical="top"/>
    </xf>
    <xf borderId="2" fillId="2" fontId="23" numFmtId="166" xfId="0" applyAlignment="1" applyBorder="1" applyFont="1" applyNumberFormat="1">
      <alignment readingOrder="0" vertical="top"/>
    </xf>
    <xf borderId="2" fillId="2" fontId="22" numFmtId="9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xofficemojo.com/release/rl3729098241/?ref_=bo_yl_table_18" TargetMode="External"/><Relationship Id="rId42" Type="http://schemas.openxmlformats.org/officeDocument/2006/relationships/hyperlink" Target="https://www.boxofficemojo.com/release/rl913540609/?ref_=bo_yl_table_19" TargetMode="External"/><Relationship Id="rId41" Type="http://schemas.openxmlformats.org/officeDocument/2006/relationships/hyperlink" Target="https://www.boxofficemojo.com/year/2007/?ref_=bo_yl_table_19" TargetMode="External"/><Relationship Id="rId44" Type="http://schemas.openxmlformats.org/officeDocument/2006/relationships/hyperlink" Target="https://www.boxofficemojo.com/release/rl4083713537/?ref_=bo_yl_table_20" TargetMode="External"/><Relationship Id="rId43" Type="http://schemas.openxmlformats.org/officeDocument/2006/relationships/hyperlink" Target="https://www.boxofficemojo.com/year/2006/?ref_=bo_yl_table_20" TargetMode="External"/><Relationship Id="rId46" Type="http://schemas.openxmlformats.org/officeDocument/2006/relationships/hyperlink" Target="https://www.boxofficemojo.com/release/rl2943583745/?ref_=bo_yl_table_21" TargetMode="External"/><Relationship Id="rId45" Type="http://schemas.openxmlformats.org/officeDocument/2006/relationships/hyperlink" Target="https://www.boxofficemojo.com/year/2005/?ref_=bo_yl_table_21" TargetMode="External"/><Relationship Id="rId48" Type="http://schemas.openxmlformats.org/officeDocument/2006/relationships/hyperlink" Target="https://www.boxofficemojo.com/release/rl24217089/?ref_=bo_yl_table_22" TargetMode="External"/><Relationship Id="rId47" Type="http://schemas.openxmlformats.org/officeDocument/2006/relationships/hyperlink" Target="https://www.boxofficemojo.com/year/2004/?ref_=bo_yl_table_22" TargetMode="External"/><Relationship Id="rId49" Type="http://schemas.openxmlformats.org/officeDocument/2006/relationships/hyperlink" Target="https://www.boxofficemojo.com/year/2003/?ref_=bo_yl_table_23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boxofficemojo.com/release/rl2759034369/?ref_=bo_yl_table_49" TargetMode="External"/><Relationship Id="rId101" Type="http://schemas.openxmlformats.org/officeDocument/2006/relationships/hyperlink" Target="https://www.boxofficemojo.com/year/1977/?ref_=bo_yl_table_49" TargetMode="External"/><Relationship Id="rId100" Type="http://schemas.openxmlformats.org/officeDocument/2006/relationships/hyperlink" Target="https://www.boxofficemojo.com/release/rl2052556289/?ref_=bo_yl_table_48" TargetMode="External"/><Relationship Id="rId31" Type="http://schemas.openxmlformats.org/officeDocument/2006/relationships/hyperlink" Target="https://www.boxofficemojo.com/year/2012/?ref_=bo_yl_table_14" TargetMode="External"/><Relationship Id="rId30" Type="http://schemas.openxmlformats.org/officeDocument/2006/relationships/hyperlink" Target="https://www.boxofficemojo.com/release/rl1532659201/?ref_=bo_yl_table_13" TargetMode="External"/><Relationship Id="rId33" Type="http://schemas.openxmlformats.org/officeDocument/2006/relationships/hyperlink" Target="https://www.boxofficemojo.com/year/2011/?ref_=bo_yl_table_15" TargetMode="External"/><Relationship Id="rId32" Type="http://schemas.openxmlformats.org/officeDocument/2006/relationships/hyperlink" Target="https://www.boxofficemojo.com/release/rl709199361/?ref_=bo_yl_table_14" TargetMode="External"/><Relationship Id="rId35" Type="http://schemas.openxmlformats.org/officeDocument/2006/relationships/hyperlink" Target="https://www.boxofficemojo.com/year/2010/?ref_=bo_yl_table_16" TargetMode="External"/><Relationship Id="rId34" Type="http://schemas.openxmlformats.org/officeDocument/2006/relationships/hyperlink" Target="https://www.boxofficemojo.com/release/rl1265337857/?ref_=bo_yl_table_15" TargetMode="External"/><Relationship Id="rId37" Type="http://schemas.openxmlformats.org/officeDocument/2006/relationships/hyperlink" Target="https://www.boxofficemojo.com/year/2009/?ref_=bo_yl_table_17" TargetMode="External"/><Relationship Id="rId36" Type="http://schemas.openxmlformats.org/officeDocument/2006/relationships/hyperlink" Target="https://www.boxofficemojo.com/release/rl876971521/?ref_=bo_yl_table_16" TargetMode="External"/><Relationship Id="rId39" Type="http://schemas.openxmlformats.org/officeDocument/2006/relationships/hyperlink" Target="https://www.boxofficemojo.com/year/2008/?ref_=bo_yl_table_18" TargetMode="External"/><Relationship Id="rId38" Type="http://schemas.openxmlformats.org/officeDocument/2006/relationships/hyperlink" Target="https://www.boxofficemojo.com/release/rl3027731969/?ref_=bo_yl_table_17" TargetMode="External"/><Relationship Id="rId20" Type="http://schemas.openxmlformats.org/officeDocument/2006/relationships/hyperlink" Target="https://www.boxofficemojo.com/release/rl2992866817/?ref_=bo_yl_table_8" TargetMode="External"/><Relationship Id="rId22" Type="http://schemas.openxmlformats.org/officeDocument/2006/relationships/hyperlink" Target="https://www.boxofficemojo.com/release/rl2708702721/?ref_=bo_yl_table_9" TargetMode="External"/><Relationship Id="rId21" Type="http://schemas.openxmlformats.org/officeDocument/2006/relationships/hyperlink" Target="https://www.boxofficemojo.com/year/2017/?ref_=bo_yl_table_9" TargetMode="External"/><Relationship Id="rId24" Type="http://schemas.openxmlformats.org/officeDocument/2006/relationships/hyperlink" Target="https://www.boxofficemojo.com/release/rl3764946433/?ref_=bo_yl_table_10" TargetMode="External"/><Relationship Id="rId23" Type="http://schemas.openxmlformats.org/officeDocument/2006/relationships/hyperlink" Target="https://www.boxofficemojo.com/year/2016/?ref_=bo_yl_table_10" TargetMode="External"/><Relationship Id="rId26" Type="http://schemas.openxmlformats.org/officeDocument/2006/relationships/hyperlink" Target="https://www.boxofficemojo.com/release/rl2371716609/?ref_=bo_yl_table_11" TargetMode="External"/><Relationship Id="rId25" Type="http://schemas.openxmlformats.org/officeDocument/2006/relationships/hyperlink" Target="https://www.boxofficemojo.com/year/2015/?ref_=bo_yl_table_11" TargetMode="External"/><Relationship Id="rId28" Type="http://schemas.openxmlformats.org/officeDocument/2006/relationships/hyperlink" Target="https://www.boxofficemojo.com/release/rl3177416193/?ref_=bo_yl_table_12" TargetMode="External"/><Relationship Id="rId27" Type="http://schemas.openxmlformats.org/officeDocument/2006/relationships/hyperlink" Target="https://www.boxofficemojo.com/year/2014/?ref_=bo_yl_table_12" TargetMode="External"/><Relationship Id="rId29" Type="http://schemas.openxmlformats.org/officeDocument/2006/relationships/hyperlink" Target="https://www.boxofficemojo.com/year/2013/?ref_=bo_yl_table_13" TargetMode="External"/><Relationship Id="rId95" Type="http://schemas.openxmlformats.org/officeDocument/2006/relationships/hyperlink" Target="https://www.boxofficemojo.com/year/1980/?ref_=bo_yl_table_46" TargetMode="External"/><Relationship Id="rId94" Type="http://schemas.openxmlformats.org/officeDocument/2006/relationships/hyperlink" Target="https://www.boxofficemojo.com/release/rl4084368897/?ref_=bo_yl_table_45" TargetMode="External"/><Relationship Id="rId97" Type="http://schemas.openxmlformats.org/officeDocument/2006/relationships/hyperlink" Target="https://www.boxofficemojo.com/year/1979/?ref_=bo_yl_table_47" TargetMode="External"/><Relationship Id="rId96" Type="http://schemas.openxmlformats.org/officeDocument/2006/relationships/hyperlink" Target="https://www.boxofficemojo.com/release/rl2775811585/?ref_=bo_yl_table_46" TargetMode="External"/><Relationship Id="rId11" Type="http://schemas.openxmlformats.org/officeDocument/2006/relationships/hyperlink" Target="https://www.boxofficemojo.com/year/2022/?ref_=bo_yl_table_4" TargetMode="External"/><Relationship Id="rId99" Type="http://schemas.openxmlformats.org/officeDocument/2006/relationships/hyperlink" Target="https://www.boxofficemojo.com/year/1978/?ref_=bo_yl_table_48" TargetMode="External"/><Relationship Id="rId10" Type="http://schemas.openxmlformats.org/officeDocument/2006/relationships/hyperlink" Target="https://www.boxofficemojo.com/release/rl1077904129/?ref_=bo_yl_table_3" TargetMode="External"/><Relationship Id="rId98" Type="http://schemas.openxmlformats.org/officeDocument/2006/relationships/hyperlink" Target="https://www.boxofficemojo.com/release/rl4050814465/?ref_=bo_yl_table_47" TargetMode="External"/><Relationship Id="rId13" Type="http://schemas.openxmlformats.org/officeDocument/2006/relationships/hyperlink" Target="https://www.boxofficemojo.com/year/2021/?ref_=bo_yl_table_5" TargetMode="External"/><Relationship Id="rId12" Type="http://schemas.openxmlformats.org/officeDocument/2006/relationships/hyperlink" Target="https://www.boxofficemojo.com/release/rl2500036097/?ref_=bo_yl_table_4" TargetMode="External"/><Relationship Id="rId91" Type="http://schemas.openxmlformats.org/officeDocument/2006/relationships/hyperlink" Target="https://www.boxofficemojo.com/year/1982/?ref_=bo_yl_table_44" TargetMode="External"/><Relationship Id="rId90" Type="http://schemas.openxmlformats.org/officeDocument/2006/relationships/hyperlink" Target="https://www.boxofficemojo.com/release/rl2792588801/?ref_=bo_yl_table_43" TargetMode="External"/><Relationship Id="rId93" Type="http://schemas.openxmlformats.org/officeDocument/2006/relationships/hyperlink" Target="https://www.boxofficemojo.com/year/1981/?ref_=bo_yl_table_45" TargetMode="External"/><Relationship Id="rId92" Type="http://schemas.openxmlformats.org/officeDocument/2006/relationships/hyperlink" Target="https://www.boxofficemojo.com/release/rl995132929/?ref_=bo_yl_table_44" TargetMode="External"/><Relationship Id="rId15" Type="http://schemas.openxmlformats.org/officeDocument/2006/relationships/hyperlink" Target="https://www.boxofficemojo.com/year/2020/?ref_=bo_yl_table_6" TargetMode="External"/><Relationship Id="rId14" Type="http://schemas.openxmlformats.org/officeDocument/2006/relationships/hyperlink" Target="https://www.boxofficemojo.com/release/rl2869659137/?ref_=bo_yl_table_5" TargetMode="External"/><Relationship Id="rId17" Type="http://schemas.openxmlformats.org/officeDocument/2006/relationships/hyperlink" Target="https://www.boxofficemojo.com/year/2019/?ref_=bo_yl_table_7" TargetMode="External"/><Relationship Id="rId16" Type="http://schemas.openxmlformats.org/officeDocument/2006/relationships/hyperlink" Target="https://www.boxofficemojo.com/release/rl1182631425/?ref_=bo_yl_table_6" TargetMode="External"/><Relationship Id="rId19" Type="http://schemas.openxmlformats.org/officeDocument/2006/relationships/hyperlink" Target="https://www.boxofficemojo.com/year/2018/?ref_=bo_yl_table_8" TargetMode="External"/><Relationship Id="rId18" Type="http://schemas.openxmlformats.org/officeDocument/2006/relationships/hyperlink" Target="https://www.boxofficemojo.com/release/rl3059975681/?ref_=bo_yl_table_7" TargetMode="External"/><Relationship Id="rId84" Type="http://schemas.openxmlformats.org/officeDocument/2006/relationships/hyperlink" Target="https://www.boxofficemojo.com/release/rl444040705/?ref_=bo_yl_table_40" TargetMode="External"/><Relationship Id="rId83" Type="http://schemas.openxmlformats.org/officeDocument/2006/relationships/hyperlink" Target="https://www.boxofficemojo.com/year/1986/?ref_=bo_yl_table_40" TargetMode="External"/><Relationship Id="rId86" Type="http://schemas.openxmlformats.org/officeDocument/2006/relationships/hyperlink" Target="https://www.boxofficemojo.com/release/rl2974385665/?ref_=bo_yl_table_41" TargetMode="External"/><Relationship Id="rId85" Type="http://schemas.openxmlformats.org/officeDocument/2006/relationships/hyperlink" Target="https://www.boxofficemojo.com/year/1985/?ref_=bo_yl_table_41" TargetMode="External"/><Relationship Id="rId88" Type="http://schemas.openxmlformats.org/officeDocument/2006/relationships/hyperlink" Target="https://www.boxofficemojo.com/release/rl3696592385/?ref_=bo_yl_table_42" TargetMode="External"/><Relationship Id="rId87" Type="http://schemas.openxmlformats.org/officeDocument/2006/relationships/hyperlink" Target="https://www.boxofficemojo.com/year/1984/?ref_=bo_yl_table_42" TargetMode="External"/><Relationship Id="rId89" Type="http://schemas.openxmlformats.org/officeDocument/2006/relationships/hyperlink" Target="https://www.boxofficemojo.com/year/1983/?ref_=bo_yl_table_43" TargetMode="External"/><Relationship Id="rId80" Type="http://schemas.openxmlformats.org/officeDocument/2006/relationships/hyperlink" Target="https://www.boxofficemojo.com/release/rl1987806721/?ref_=bo_yl_table_38" TargetMode="External"/><Relationship Id="rId82" Type="http://schemas.openxmlformats.org/officeDocument/2006/relationships/hyperlink" Target="https://www.boxofficemojo.com/release/rl3712255489/?ref_=bo_yl_table_39" TargetMode="External"/><Relationship Id="rId81" Type="http://schemas.openxmlformats.org/officeDocument/2006/relationships/hyperlink" Target="https://www.boxofficemojo.com/year/1987/?ref_=bo_yl_table_39" TargetMode="External"/><Relationship Id="rId1" Type="http://schemas.openxmlformats.org/officeDocument/2006/relationships/hyperlink" Target="https://www.boxofficemojo.com/year/?sort=yearTotalGross&amp;ref_=bo_yl__resort" TargetMode="External"/><Relationship Id="rId2" Type="http://schemas.openxmlformats.org/officeDocument/2006/relationships/hyperlink" Target="https://www.boxofficemojo.com/year/?sort=grossLastYearDelta&amp;ref_=bo_yl__resort" TargetMode="External"/><Relationship Id="rId3" Type="http://schemas.openxmlformats.org/officeDocument/2006/relationships/hyperlink" Target="https://www.boxofficemojo.com/year/?sort=numReleases&amp;ref_=bo_yl__resort" TargetMode="External"/><Relationship Id="rId4" Type="http://schemas.openxmlformats.org/officeDocument/2006/relationships/hyperlink" Target="https://www.boxofficemojo.com/year/?sort=perReleaseAverageGross&amp;ref_=bo_yl__resort" TargetMode="External"/><Relationship Id="rId9" Type="http://schemas.openxmlformats.org/officeDocument/2006/relationships/hyperlink" Target="https://www.boxofficemojo.com/year/2023/?ref_=bo_yl_table_3" TargetMode="External"/><Relationship Id="rId5" Type="http://schemas.openxmlformats.org/officeDocument/2006/relationships/hyperlink" Target="https://www.boxofficemojo.com/year/2025/?ref_=bo_yl_table_1" TargetMode="External"/><Relationship Id="rId6" Type="http://schemas.openxmlformats.org/officeDocument/2006/relationships/hyperlink" Target="https://www.boxofficemojo.com/release/rl746096129/?ref_=bo_yl_table_1" TargetMode="External"/><Relationship Id="rId7" Type="http://schemas.openxmlformats.org/officeDocument/2006/relationships/hyperlink" Target="https://www.boxofficemojo.com/year/2024/?ref_=bo_yl_table_2" TargetMode="External"/><Relationship Id="rId8" Type="http://schemas.openxmlformats.org/officeDocument/2006/relationships/hyperlink" Target="https://www.boxofficemojo.com/release/rl3638199041/?ref_=bo_yl_table_2" TargetMode="External"/><Relationship Id="rId73" Type="http://schemas.openxmlformats.org/officeDocument/2006/relationships/hyperlink" Target="https://www.boxofficemojo.com/year/1991/?ref_=bo_yl_table_35" TargetMode="External"/><Relationship Id="rId72" Type="http://schemas.openxmlformats.org/officeDocument/2006/relationships/hyperlink" Target="https://www.boxofficemojo.com/release/rl3544548865/?ref_=bo_yl_table_34" TargetMode="External"/><Relationship Id="rId75" Type="http://schemas.openxmlformats.org/officeDocument/2006/relationships/hyperlink" Target="https://www.boxofficemojo.com/year/1990/?ref_=bo_yl_table_36" TargetMode="External"/><Relationship Id="rId74" Type="http://schemas.openxmlformats.org/officeDocument/2006/relationships/hyperlink" Target="https://www.boxofficemojo.com/release/rl3396699649/?ref_=bo_yl_table_35" TargetMode="External"/><Relationship Id="rId77" Type="http://schemas.openxmlformats.org/officeDocument/2006/relationships/hyperlink" Target="https://www.boxofficemojo.com/year/1989/?ref_=bo_yl_table_37" TargetMode="External"/><Relationship Id="rId76" Type="http://schemas.openxmlformats.org/officeDocument/2006/relationships/hyperlink" Target="https://www.boxofficemojo.com/release/rl3864364545/?ref_=bo_yl_table_36" TargetMode="External"/><Relationship Id="rId79" Type="http://schemas.openxmlformats.org/officeDocument/2006/relationships/hyperlink" Target="https://www.boxofficemojo.com/year/1988/?ref_=bo_yl_table_38" TargetMode="External"/><Relationship Id="rId78" Type="http://schemas.openxmlformats.org/officeDocument/2006/relationships/hyperlink" Target="https://www.boxofficemojo.com/release/rl3695543809/?ref_=bo_yl_table_37" TargetMode="External"/><Relationship Id="rId71" Type="http://schemas.openxmlformats.org/officeDocument/2006/relationships/hyperlink" Target="https://www.boxofficemojo.com/year/1992/?ref_=bo_yl_table_34" TargetMode="External"/><Relationship Id="rId70" Type="http://schemas.openxmlformats.org/officeDocument/2006/relationships/hyperlink" Target="https://www.boxofficemojo.com/release/rl2354939393/?ref_=bo_yl_table_33" TargetMode="External"/><Relationship Id="rId62" Type="http://schemas.openxmlformats.org/officeDocument/2006/relationships/hyperlink" Target="https://www.boxofficemojo.com/release/rl1264748033/?ref_=bo_yl_table_29" TargetMode="External"/><Relationship Id="rId61" Type="http://schemas.openxmlformats.org/officeDocument/2006/relationships/hyperlink" Target="https://www.boxofficemojo.com/year/1997/?ref_=bo_yl_table_29" TargetMode="External"/><Relationship Id="rId64" Type="http://schemas.openxmlformats.org/officeDocument/2006/relationships/hyperlink" Target="https://www.boxofficemojo.com/release/rl2656798209/?ref_=bo_yl_table_30" TargetMode="External"/><Relationship Id="rId63" Type="http://schemas.openxmlformats.org/officeDocument/2006/relationships/hyperlink" Target="https://www.boxofficemojo.com/year/1996/?ref_=bo_yl_table_30" TargetMode="External"/><Relationship Id="rId66" Type="http://schemas.openxmlformats.org/officeDocument/2006/relationships/hyperlink" Target="https://www.boxofficemojo.com/release/rl3494217217/?ref_=bo_yl_table_31" TargetMode="External"/><Relationship Id="rId65" Type="http://schemas.openxmlformats.org/officeDocument/2006/relationships/hyperlink" Target="https://www.boxofficemojo.com/year/1995/?ref_=bo_yl_table_31" TargetMode="External"/><Relationship Id="rId68" Type="http://schemas.openxmlformats.org/officeDocument/2006/relationships/hyperlink" Target="https://www.boxofficemojo.com/release/rl3730736641/?ref_=bo_yl_table_32" TargetMode="External"/><Relationship Id="rId67" Type="http://schemas.openxmlformats.org/officeDocument/2006/relationships/hyperlink" Target="https://www.boxofficemojo.com/year/1994/?ref_=bo_yl_table_32" TargetMode="External"/><Relationship Id="rId60" Type="http://schemas.openxmlformats.org/officeDocument/2006/relationships/hyperlink" Target="https://www.boxofficemojo.com/release/rl3698624001/?ref_=bo_yl_table_28" TargetMode="External"/><Relationship Id="rId69" Type="http://schemas.openxmlformats.org/officeDocument/2006/relationships/hyperlink" Target="https://www.boxofficemojo.com/year/1993/?ref_=bo_yl_table_33" TargetMode="External"/><Relationship Id="rId51" Type="http://schemas.openxmlformats.org/officeDocument/2006/relationships/hyperlink" Target="https://www.boxofficemojo.com/year/2002/?ref_=bo_yl_table_24" TargetMode="External"/><Relationship Id="rId50" Type="http://schemas.openxmlformats.org/officeDocument/2006/relationships/hyperlink" Target="https://www.boxofficemojo.com/release/rl2723382785/?ref_=bo_yl_table_23" TargetMode="External"/><Relationship Id="rId53" Type="http://schemas.openxmlformats.org/officeDocument/2006/relationships/hyperlink" Target="https://www.boxofficemojo.com/year/2001/?ref_=bo_yl_table_25" TargetMode="External"/><Relationship Id="rId52" Type="http://schemas.openxmlformats.org/officeDocument/2006/relationships/hyperlink" Target="https://www.boxofficemojo.com/release/rl678659585/?ref_=bo_yl_table_24" TargetMode="External"/><Relationship Id="rId55" Type="http://schemas.openxmlformats.org/officeDocument/2006/relationships/hyperlink" Target="https://www.boxofficemojo.com/year/2000/?ref_=bo_yl_table_26" TargetMode="External"/><Relationship Id="rId54" Type="http://schemas.openxmlformats.org/officeDocument/2006/relationships/hyperlink" Target="https://www.boxofficemojo.com/release/rl1416332801/?ref_=bo_yl_table_25" TargetMode="External"/><Relationship Id="rId57" Type="http://schemas.openxmlformats.org/officeDocument/2006/relationships/hyperlink" Target="https://www.boxofficemojo.com/year/1999/?ref_=bo_yl_table_27" TargetMode="External"/><Relationship Id="rId56" Type="http://schemas.openxmlformats.org/officeDocument/2006/relationships/hyperlink" Target="https://www.boxofficemojo.com/release/rl3059189249/?ref_=bo_yl_table_26" TargetMode="External"/><Relationship Id="rId59" Type="http://schemas.openxmlformats.org/officeDocument/2006/relationships/hyperlink" Target="https://www.boxofficemojo.com/year/1998/?ref_=bo_yl_table_28" TargetMode="External"/><Relationship Id="rId58" Type="http://schemas.openxmlformats.org/officeDocument/2006/relationships/hyperlink" Target="https://www.boxofficemojo.com/release/rl2742257153/?ref_=bo_yl_table_27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m.the-numbers.com/market/1995/summary" TargetMode="External"/><Relationship Id="rId30" Type="http://schemas.openxmlformats.org/officeDocument/2006/relationships/hyperlink" Target="https://m.the-numbers.com/market/1996/summary" TargetMode="External"/><Relationship Id="rId32" Type="http://schemas.openxmlformats.org/officeDocument/2006/relationships/drawing" Target="../drawings/drawing2.xml"/><Relationship Id="rId20" Type="http://schemas.openxmlformats.org/officeDocument/2006/relationships/hyperlink" Target="https://m.the-numbers.com/market/2006/summary" TargetMode="External"/><Relationship Id="rId22" Type="http://schemas.openxmlformats.org/officeDocument/2006/relationships/hyperlink" Target="https://m.the-numbers.com/market/2004/summary" TargetMode="External"/><Relationship Id="rId21" Type="http://schemas.openxmlformats.org/officeDocument/2006/relationships/hyperlink" Target="https://m.the-numbers.com/market/2005/summary" TargetMode="External"/><Relationship Id="rId24" Type="http://schemas.openxmlformats.org/officeDocument/2006/relationships/hyperlink" Target="https://m.the-numbers.com/market/2002/summary" TargetMode="External"/><Relationship Id="rId23" Type="http://schemas.openxmlformats.org/officeDocument/2006/relationships/hyperlink" Target="https://m.the-numbers.com/market/2003/summary" TargetMode="External"/><Relationship Id="rId26" Type="http://schemas.openxmlformats.org/officeDocument/2006/relationships/hyperlink" Target="https://m.the-numbers.com/market/2000/summary" TargetMode="External"/><Relationship Id="rId25" Type="http://schemas.openxmlformats.org/officeDocument/2006/relationships/hyperlink" Target="https://m.the-numbers.com/market/2001/summary" TargetMode="External"/><Relationship Id="rId28" Type="http://schemas.openxmlformats.org/officeDocument/2006/relationships/hyperlink" Target="https://m.the-numbers.com/market/1998/summary" TargetMode="External"/><Relationship Id="rId27" Type="http://schemas.openxmlformats.org/officeDocument/2006/relationships/hyperlink" Target="https://m.the-numbers.com/market/1999/summary" TargetMode="External"/><Relationship Id="rId29" Type="http://schemas.openxmlformats.org/officeDocument/2006/relationships/hyperlink" Target="https://m.the-numbers.com/market/1997/summary" TargetMode="External"/><Relationship Id="rId11" Type="http://schemas.openxmlformats.org/officeDocument/2006/relationships/hyperlink" Target="https://m.the-numbers.com/market/2015/summary" TargetMode="External"/><Relationship Id="rId10" Type="http://schemas.openxmlformats.org/officeDocument/2006/relationships/hyperlink" Target="https://m.the-numbers.com/market/2016/summary" TargetMode="External"/><Relationship Id="rId13" Type="http://schemas.openxmlformats.org/officeDocument/2006/relationships/hyperlink" Target="https://m.the-numbers.com/market/2013/summary" TargetMode="External"/><Relationship Id="rId12" Type="http://schemas.openxmlformats.org/officeDocument/2006/relationships/hyperlink" Target="https://m.the-numbers.com/market/2014/summary" TargetMode="External"/><Relationship Id="rId15" Type="http://schemas.openxmlformats.org/officeDocument/2006/relationships/hyperlink" Target="https://m.the-numbers.com/market/2011/summary" TargetMode="External"/><Relationship Id="rId14" Type="http://schemas.openxmlformats.org/officeDocument/2006/relationships/hyperlink" Target="https://m.the-numbers.com/market/2012/summary" TargetMode="External"/><Relationship Id="rId17" Type="http://schemas.openxmlformats.org/officeDocument/2006/relationships/hyperlink" Target="https://m.the-numbers.com/market/2009/summary" TargetMode="External"/><Relationship Id="rId16" Type="http://schemas.openxmlformats.org/officeDocument/2006/relationships/hyperlink" Target="https://m.the-numbers.com/market/2010/summary" TargetMode="External"/><Relationship Id="rId19" Type="http://schemas.openxmlformats.org/officeDocument/2006/relationships/hyperlink" Target="https://m.the-numbers.com/market/2007/summary" TargetMode="External"/><Relationship Id="rId18" Type="http://schemas.openxmlformats.org/officeDocument/2006/relationships/hyperlink" Target="https://m.the-numbers.com/market/2008/summary" TargetMode="External"/><Relationship Id="rId1" Type="http://schemas.openxmlformats.org/officeDocument/2006/relationships/hyperlink" Target="https://m.the-numbers.com/market/2025/summary" TargetMode="External"/><Relationship Id="rId2" Type="http://schemas.openxmlformats.org/officeDocument/2006/relationships/hyperlink" Target="https://m.the-numbers.com/market/2024/summary" TargetMode="External"/><Relationship Id="rId3" Type="http://schemas.openxmlformats.org/officeDocument/2006/relationships/hyperlink" Target="https://m.the-numbers.com/market/2023/summary" TargetMode="External"/><Relationship Id="rId4" Type="http://schemas.openxmlformats.org/officeDocument/2006/relationships/hyperlink" Target="https://m.the-numbers.com/market/2022/summary" TargetMode="External"/><Relationship Id="rId9" Type="http://schemas.openxmlformats.org/officeDocument/2006/relationships/hyperlink" Target="https://m.the-numbers.com/market/2017/summary" TargetMode="External"/><Relationship Id="rId5" Type="http://schemas.openxmlformats.org/officeDocument/2006/relationships/hyperlink" Target="https://m.the-numbers.com/market/2021/summary" TargetMode="External"/><Relationship Id="rId6" Type="http://schemas.openxmlformats.org/officeDocument/2006/relationships/hyperlink" Target="https://m.the-numbers.com/market/2020/summary" TargetMode="External"/><Relationship Id="rId7" Type="http://schemas.openxmlformats.org/officeDocument/2006/relationships/hyperlink" Target="https://m.the-numbers.com/market/2019/summary" TargetMode="External"/><Relationship Id="rId8" Type="http://schemas.openxmlformats.org/officeDocument/2006/relationships/hyperlink" Target="https://m.the-numbers.com/market/2018/summar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xofficemojo.com/article/ed2573272068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oxofficemojo.com/release/rl2792588801/?ref_=bo_ql_table_43" TargetMode="External"/><Relationship Id="rId194" Type="http://schemas.openxmlformats.org/officeDocument/2006/relationships/hyperlink" Target="https://www.boxofficemojo.com/release/rl1685227009/?ref_=bo_ql_table_45" TargetMode="External"/><Relationship Id="rId193" Type="http://schemas.openxmlformats.org/officeDocument/2006/relationships/hyperlink" Target="https://www.boxofficemojo.com/quarter/q2/1981/?ref_=bo_ql_table_45" TargetMode="External"/><Relationship Id="rId192" Type="http://schemas.openxmlformats.org/officeDocument/2006/relationships/hyperlink" Target="https://www.boxofficemojo.com/release/rl1802208769/?ref_=bo_ql_table_44" TargetMode="External"/><Relationship Id="rId191" Type="http://schemas.openxmlformats.org/officeDocument/2006/relationships/hyperlink" Target="https://www.boxofficemojo.com/quarter/q2/1982/?ref_=bo_ql_table_44" TargetMode="External"/><Relationship Id="rId187" Type="http://schemas.openxmlformats.org/officeDocument/2006/relationships/hyperlink" Target="https://www.boxofficemojo.com/quarter/q2/1984/?ref_=bo_ql_table_42" TargetMode="External"/><Relationship Id="rId186" Type="http://schemas.openxmlformats.org/officeDocument/2006/relationships/hyperlink" Target="https://www.boxofficemojo.com/release/rl3697968641/?ref_=bo_ql_table_41" TargetMode="External"/><Relationship Id="rId185" Type="http://schemas.openxmlformats.org/officeDocument/2006/relationships/hyperlink" Target="https://www.boxofficemojo.com/quarter/q2/1985/?ref_=bo_ql_table_41" TargetMode="External"/><Relationship Id="rId184" Type="http://schemas.openxmlformats.org/officeDocument/2006/relationships/hyperlink" Target="https://www.boxofficemojo.com/release/rl444040705/?ref_=bo_ql_table_40" TargetMode="External"/><Relationship Id="rId189" Type="http://schemas.openxmlformats.org/officeDocument/2006/relationships/hyperlink" Target="https://www.boxofficemojo.com/quarter/q2/1983/?ref_=bo_ql_table_43" TargetMode="External"/><Relationship Id="rId188" Type="http://schemas.openxmlformats.org/officeDocument/2006/relationships/hyperlink" Target="https://www.boxofficemojo.com/release/rl2455471617/?ref_=bo_ql_table_42" TargetMode="External"/><Relationship Id="rId183" Type="http://schemas.openxmlformats.org/officeDocument/2006/relationships/hyperlink" Target="https://www.boxofficemojo.com/quarter/q2/1986/?ref_=bo_ql_table_40" TargetMode="External"/><Relationship Id="rId182" Type="http://schemas.openxmlformats.org/officeDocument/2006/relationships/hyperlink" Target="https://www.boxofficemojo.com/release/rl3712255489/?ref_=bo_ql_table_39" TargetMode="External"/><Relationship Id="rId181" Type="http://schemas.openxmlformats.org/officeDocument/2006/relationships/hyperlink" Target="https://www.boxofficemojo.com/quarter/q2/1987/?ref_=bo_ql_table_39" TargetMode="External"/><Relationship Id="rId180" Type="http://schemas.openxmlformats.org/officeDocument/2006/relationships/hyperlink" Target="https://www.boxofficemojo.com/release/rl3863905793/?ref_=bo_ql_table_38" TargetMode="External"/><Relationship Id="rId176" Type="http://schemas.openxmlformats.org/officeDocument/2006/relationships/hyperlink" Target="https://www.boxofficemojo.com/release/rl2439742977/?ref_=bo_ql_table_36" TargetMode="External"/><Relationship Id="rId297" Type="http://schemas.openxmlformats.org/officeDocument/2006/relationships/hyperlink" Target="https://www.boxofficemojo.com/quarter/q3/1980/?ref_=bo_ql_table_46" TargetMode="External"/><Relationship Id="rId175" Type="http://schemas.openxmlformats.org/officeDocument/2006/relationships/hyperlink" Target="https://www.boxofficemojo.com/quarter/q2/1990/?ref_=bo_ql_table_36" TargetMode="External"/><Relationship Id="rId296" Type="http://schemas.openxmlformats.org/officeDocument/2006/relationships/hyperlink" Target="https://www.boxofficemojo.com/release/rl4084368897/?ref_=bo_ql_table_45" TargetMode="External"/><Relationship Id="rId174" Type="http://schemas.openxmlformats.org/officeDocument/2006/relationships/hyperlink" Target="https://www.boxofficemojo.com/release/rl1567393281/?ref_=bo_ql_table_35" TargetMode="External"/><Relationship Id="rId295" Type="http://schemas.openxmlformats.org/officeDocument/2006/relationships/hyperlink" Target="https://www.boxofficemojo.com/quarter/q3/1981/?ref_=bo_ql_table_45" TargetMode="External"/><Relationship Id="rId173" Type="http://schemas.openxmlformats.org/officeDocument/2006/relationships/hyperlink" Target="https://www.boxofficemojo.com/quarter/q2/1991/?ref_=bo_ql_table_35" TargetMode="External"/><Relationship Id="rId294" Type="http://schemas.openxmlformats.org/officeDocument/2006/relationships/hyperlink" Target="https://www.boxofficemojo.com/release/rl995132929/?ref_=bo_ql_table_44" TargetMode="External"/><Relationship Id="rId179" Type="http://schemas.openxmlformats.org/officeDocument/2006/relationships/hyperlink" Target="https://www.boxofficemojo.com/quarter/q2/1988/?ref_=bo_ql_table_38" TargetMode="External"/><Relationship Id="rId178" Type="http://schemas.openxmlformats.org/officeDocument/2006/relationships/hyperlink" Target="https://www.boxofficemojo.com/release/rl2539357697/?ref_=bo_ql_table_37" TargetMode="External"/><Relationship Id="rId299" Type="http://schemas.openxmlformats.org/officeDocument/2006/relationships/hyperlink" Target="https://www.boxofficemojo.com/quarter/q3/1979/?ref_=bo_ql_table_47" TargetMode="External"/><Relationship Id="rId177" Type="http://schemas.openxmlformats.org/officeDocument/2006/relationships/hyperlink" Target="https://www.boxofficemojo.com/quarter/q2/1989/?ref_=bo_ql_table_37" TargetMode="External"/><Relationship Id="rId298" Type="http://schemas.openxmlformats.org/officeDocument/2006/relationships/hyperlink" Target="https://www.boxofficemojo.com/release/rl2775811585/?ref_=bo_ql_table_46" TargetMode="External"/><Relationship Id="rId198" Type="http://schemas.openxmlformats.org/officeDocument/2006/relationships/hyperlink" Target="https://www.boxofficemojo.com/release/rl2993456641/?ref_=bo_ql_table_47" TargetMode="External"/><Relationship Id="rId197" Type="http://schemas.openxmlformats.org/officeDocument/2006/relationships/hyperlink" Target="https://www.boxofficemojo.com/quarter/q2/1979/?ref_=bo_ql_table_47" TargetMode="External"/><Relationship Id="rId196" Type="http://schemas.openxmlformats.org/officeDocument/2006/relationships/hyperlink" Target="https://www.boxofficemojo.com/release/rl2775811585/?ref_=bo_ql_table_46" TargetMode="External"/><Relationship Id="rId195" Type="http://schemas.openxmlformats.org/officeDocument/2006/relationships/hyperlink" Target="https://www.boxofficemojo.com/quarter/q2/1980/?ref_=bo_ql_table_46" TargetMode="External"/><Relationship Id="rId199" Type="http://schemas.openxmlformats.org/officeDocument/2006/relationships/hyperlink" Target="https://www.boxofficemojo.com/quarter/q2/1978/?ref_=bo_ql_table_48" TargetMode="External"/><Relationship Id="rId150" Type="http://schemas.openxmlformats.org/officeDocument/2006/relationships/hyperlink" Target="https://www.boxofficemojo.com/release/rl4167271937/?ref_=bo_ql_table_23" TargetMode="External"/><Relationship Id="rId271" Type="http://schemas.openxmlformats.org/officeDocument/2006/relationships/hyperlink" Target="https://www.boxofficemojo.com/quarter/q3/1993/?ref_=bo_ql_table_33" TargetMode="External"/><Relationship Id="rId392" Type="http://schemas.openxmlformats.org/officeDocument/2006/relationships/hyperlink" Target="https://www.boxofficemojo.com/release/rl3496248833/?ref_=bo_ql_table_42" TargetMode="External"/><Relationship Id="rId270" Type="http://schemas.openxmlformats.org/officeDocument/2006/relationships/hyperlink" Target="https://www.boxofficemojo.com/release/rl1314031105/?ref_=bo_ql_table_32" TargetMode="External"/><Relationship Id="rId391" Type="http://schemas.openxmlformats.org/officeDocument/2006/relationships/hyperlink" Target="https://www.boxofficemojo.com/quarter/q4/1983/?ref_=bo_ql_table_42" TargetMode="External"/><Relationship Id="rId390" Type="http://schemas.openxmlformats.org/officeDocument/2006/relationships/hyperlink" Target="https://www.boxofficemojo.com/release/rl3880027649/?ref_=bo_ql_table_41" TargetMode="External"/><Relationship Id="rId1" Type="http://schemas.openxmlformats.org/officeDocument/2006/relationships/hyperlink" Target="https://www.boxofficemojo.com/quarter/q1/?grossesOption=calendarGrosses&amp;sort=yearTotalGross&amp;ref_=bo_ql__resort" TargetMode="External"/><Relationship Id="rId2" Type="http://schemas.openxmlformats.org/officeDocument/2006/relationships/hyperlink" Target="https://www.boxofficemojo.com/quarter/q1/?grossesOption=calendarGrosses&amp;sort=grossLastYearDelta&amp;ref_=bo_ql__resort" TargetMode="External"/><Relationship Id="rId3" Type="http://schemas.openxmlformats.org/officeDocument/2006/relationships/hyperlink" Target="https://www.boxofficemojo.com/quarter/q1/?grossesOption=calendarGrosses&amp;sort=numReleases&amp;ref_=bo_ql__resort" TargetMode="External"/><Relationship Id="rId149" Type="http://schemas.openxmlformats.org/officeDocument/2006/relationships/hyperlink" Target="https://www.boxofficemojo.com/quarter/q2/2003/?ref_=bo_ql_table_23" TargetMode="External"/><Relationship Id="rId4" Type="http://schemas.openxmlformats.org/officeDocument/2006/relationships/hyperlink" Target="https://www.boxofficemojo.com/quarter/q1/?grossesOption=calendarGrosses&amp;sort=perReleaseAverageGross&amp;ref_=bo_ql__resort" TargetMode="External"/><Relationship Id="rId148" Type="http://schemas.openxmlformats.org/officeDocument/2006/relationships/hyperlink" Target="https://www.boxofficemojo.com/release/rl24217089/?ref_=bo_ql_table_22" TargetMode="External"/><Relationship Id="rId269" Type="http://schemas.openxmlformats.org/officeDocument/2006/relationships/hyperlink" Target="https://www.boxofficemojo.com/quarter/q3/1994/?ref_=bo_ql_table_32" TargetMode="External"/><Relationship Id="rId9" Type="http://schemas.openxmlformats.org/officeDocument/2006/relationships/hyperlink" Target="https://www.boxofficemojo.com/quarter/q1/2024/?ref_=bo_ql_table_2" TargetMode="External"/><Relationship Id="rId143" Type="http://schemas.openxmlformats.org/officeDocument/2006/relationships/hyperlink" Target="https://www.boxofficemojo.com/quarter/q2/2006/?ref_=bo_ql_table_20" TargetMode="External"/><Relationship Id="rId264" Type="http://schemas.openxmlformats.org/officeDocument/2006/relationships/hyperlink" Target="https://www.boxofficemojo.com/release/rl1264748033/?ref_=bo_ql_table_29" TargetMode="External"/><Relationship Id="rId385" Type="http://schemas.openxmlformats.org/officeDocument/2006/relationships/hyperlink" Target="https://www.boxofficemojo.com/quarter/q4/1986/?ref_=bo_ql_table_39" TargetMode="External"/><Relationship Id="rId142" Type="http://schemas.openxmlformats.org/officeDocument/2006/relationships/hyperlink" Target="https://www.boxofficemojo.com/release/rl913540609/?ref_=bo_ql_table_19" TargetMode="External"/><Relationship Id="rId263" Type="http://schemas.openxmlformats.org/officeDocument/2006/relationships/hyperlink" Target="https://www.boxofficemojo.com/quarter/q3/1997/?ref_=bo_ql_table_29" TargetMode="External"/><Relationship Id="rId384" Type="http://schemas.openxmlformats.org/officeDocument/2006/relationships/hyperlink" Target="https://www.boxofficemojo.com/release/rl794002945/?ref_=bo_ql_table_38" TargetMode="External"/><Relationship Id="rId141" Type="http://schemas.openxmlformats.org/officeDocument/2006/relationships/hyperlink" Target="https://www.boxofficemojo.com/quarter/q2/2007/?ref_=bo_ql_table_19" TargetMode="External"/><Relationship Id="rId262" Type="http://schemas.openxmlformats.org/officeDocument/2006/relationships/hyperlink" Target="https://www.boxofficemojo.com/release/rl2973926913/?ref_=bo_ql_table_28" TargetMode="External"/><Relationship Id="rId383" Type="http://schemas.openxmlformats.org/officeDocument/2006/relationships/hyperlink" Target="https://www.boxofficemojo.com/quarter/q4/1987/?ref_=bo_ql_table_38" TargetMode="External"/><Relationship Id="rId140" Type="http://schemas.openxmlformats.org/officeDocument/2006/relationships/hyperlink" Target="https://www.boxofficemojo.com/release/rl1482327553/?ref_=bo_ql_table_18" TargetMode="External"/><Relationship Id="rId261" Type="http://schemas.openxmlformats.org/officeDocument/2006/relationships/hyperlink" Target="https://www.boxofficemojo.com/quarter/q3/1998/?ref_=bo_ql_table_28" TargetMode="External"/><Relationship Id="rId382" Type="http://schemas.openxmlformats.org/officeDocument/2006/relationships/hyperlink" Target="https://www.boxofficemojo.com/release/rl3245311489/?ref_=bo_ql_table_37" TargetMode="External"/><Relationship Id="rId5" Type="http://schemas.openxmlformats.org/officeDocument/2006/relationships/hyperlink" Target="https://www.boxofficemojo.com/quarter/q1/?grossesOption=calendarGrosses&amp;sort=topReleaseGross&amp;ref_=bo_ql__resort" TargetMode="External"/><Relationship Id="rId147" Type="http://schemas.openxmlformats.org/officeDocument/2006/relationships/hyperlink" Target="https://www.boxofficemojo.com/quarter/q2/2004/?ref_=bo_ql_table_22" TargetMode="External"/><Relationship Id="rId268" Type="http://schemas.openxmlformats.org/officeDocument/2006/relationships/hyperlink" Target="https://www.boxofficemojo.com/release/rl1614972417/?ref_=bo_ql_table_31" TargetMode="External"/><Relationship Id="rId389" Type="http://schemas.openxmlformats.org/officeDocument/2006/relationships/hyperlink" Target="https://www.boxofficemojo.com/quarter/q4/1984/?ref_=bo_ql_table_41" TargetMode="External"/><Relationship Id="rId6" Type="http://schemas.openxmlformats.org/officeDocument/2006/relationships/hyperlink" Target="https://www.boxofficemojo.com/quarter/q1/?grossesOption=calendarGrosses&amp;sort=grossPercentOfTotal&amp;ref_=bo_ql__resort" TargetMode="External"/><Relationship Id="rId146" Type="http://schemas.openxmlformats.org/officeDocument/2006/relationships/hyperlink" Target="https://www.boxofficemojo.com/release/rl2943583745/?ref_=bo_ql_table_21" TargetMode="External"/><Relationship Id="rId267" Type="http://schemas.openxmlformats.org/officeDocument/2006/relationships/hyperlink" Target="https://www.boxofficemojo.com/quarter/q3/1995/?ref_=bo_ql_table_31" TargetMode="External"/><Relationship Id="rId388" Type="http://schemas.openxmlformats.org/officeDocument/2006/relationships/hyperlink" Target="https://www.boxofficemojo.com/release/rl3043788289/?ref_=bo_ql_table_40" TargetMode="External"/><Relationship Id="rId7" Type="http://schemas.openxmlformats.org/officeDocument/2006/relationships/hyperlink" Target="https://www.boxofficemojo.com/quarter/q1/2025/?ref_=bo_ql_table_1" TargetMode="External"/><Relationship Id="rId145" Type="http://schemas.openxmlformats.org/officeDocument/2006/relationships/hyperlink" Target="https://www.boxofficemojo.com/quarter/q2/2005/?ref_=bo_ql_table_21" TargetMode="External"/><Relationship Id="rId266" Type="http://schemas.openxmlformats.org/officeDocument/2006/relationships/hyperlink" Target="https://www.boxofficemojo.com/release/rl2656798209/?ref_=bo_ql_table_30" TargetMode="External"/><Relationship Id="rId387" Type="http://schemas.openxmlformats.org/officeDocument/2006/relationships/hyperlink" Target="https://www.boxofficemojo.com/quarter/q4/1985/?ref_=bo_ql_table_40" TargetMode="External"/><Relationship Id="rId8" Type="http://schemas.openxmlformats.org/officeDocument/2006/relationships/hyperlink" Target="https://www.boxofficemojo.com/release/rl2597421825/?ref_=bo_ql_table_1" TargetMode="External"/><Relationship Id="rId144" Type="http://schemas.openxmlformats.org/officeDocument/2006/relationships/hyperlink" Target="https://www.boxofficemojo.com/release/rl1484424705/?ref_=bo_ql_table_20" TargetMode="External"/><Relationship Id="rId265" Type="http://schemas.openxmlformats.org/officeDocument/2006/relationships/hyperlink" Target="https://www.boxofficemojo.com/quarter/q3/1996/?ref_=bo_ql_table_30" TargetMode="External"/><Relationship Id="rId386" Type="http://schemas.openxmlformats.org/officeDocument/2006/relationships/hyperlink" Target="https://www.boxofficemojo.com/release/rl3108865537/?ref_=bo_ql_table_39" TargetMode="External"/><Relationship Id="rId260" Type="http://schemas.openxmlformats.org/officeDocument/2006/relationships/hyperlink" Target="https://www.boxofficemojo.com/release/rl3527509505/?ref_=bo_ql_table_27" TargetMode="External"/><Relationship Id="rId381" Type="http://schemas.openxmlformats.org/officeDocument/2006/relationships/hyperlink" Target="https://www.boxofficemojo.com/quarter/q4/1988/?ref_=bo_ql_table_37" TargetMode="External"/><Relationship Id="rId380" Type="http://schemas.openxmlformats.org/officeDocument/2006/relationships/hyperlink" Target="https://www.boxofficemojo.com/release/rl2992735745/?ref_=bo_ql_table_36" TargetMode="External"/><Relationship Id="rId139" Type="http://schemas.openxmlformats.org/officeDocument/2006/relationships/hyperlink" Target="https://www.boxofficemojo.com/quarter/q2/2008/?ref_=bo_ql_table_18" TargetMode="External"/><Relationship Id="rId138" Type="http://schemas.openxmlformats.org/officeDocument/2006/relationships/hyperlink" Target="https://www.boxofficemojo.com/release/rl3245770241/?ref_=bo_ql_table_17" TargetMode="External"/><Relationship Id="rId259" Type="http://schemas.openxmlformats.org/officeDocument/2006/relationships/hyperlink" Target="https://www.boxofficemojo.com/quarter/q3/1999/?ref_=bo_ql_table_27" TargetMode="External"/><Relationship Id="rId137" Type="http://schemas.openxmlformats.org/officeDocument/2006/relationships/hyperlink" Target="https://www.boxofficemojo.com/quarter/q2/2009/?ref_=bo_ql_table_17" TargetMode="External"/><Relationship Id="rId258" Type="http://schemas.openxmlformats.org/officeDocument/2006/relationships/hyperlink" Target="https://www.boxofficemojo.com/release/rl661161473/?ref_=bo_ql_table_26" TargetMode="External"/><Relationship Id="rId379" Type="http://schemas.openxmlformats.org/officeDocument/2006/relationships/hyperlink" Target="https://www.boxofficemojo.com/quarter/q4/1989/?ref_=bo_ql_table_36" TargetMode="External"/><Relationship Id="rId132" Type="http://schemas.openxmlformats.org/officeDocument/2006/relationships/hyperlink" Target="https://www.boxofficemojo.com/release/rl709199361/?ref_=bo_ql_table_14" TargetMode="External"/><Relationship Id="rId253" Type="http://schemas.openxmlformats.org/officeDocument/2006/relationships/hyperlink" Target="https://www.boxofficemojo.com/quarter/q3/2002/?ref_=bo_ql_table_24" TargetMode="External"/><Relationship Id="rId374" Type="http://schemas.openxmlformats.org/officeDocument/2006/relationships/hyperlink" Target="https://www.boxofficemojo.com/release/rl3881403905/?ref_=bo_ql_table_33" TargetMode="External"/><Relationship Id="rId131" Type="http://schemas.openxmlformats.org/officeDocument/2006/relationships/hyperlink" Target="https://www.boxofficemojo.com/quarter/q2/2012/?ref_=bo_ql_table_14" TargetMode="External"/><Relationship Id="rId252" Type="http://schemas.openxmlformats.org/officeDocument/2006/relationships/hyperlink" Target="https://www.boxofficemojo.com/release/rl4134045185/?ref_=bo_ql_table_23" TargetMode="External"/><Relationship Id="rId373" Type="http://schemas.openxmlformats.org/officeDocument/2006/relationships/hyperlink" Target="https://www.boxofficemojo.com/quarter/q4/1992/?ref_=bo_ql_table_33" TargetMode="External"/><Relationship Id="rId130" Type="http://schemas.openxmlformats.org/officeDocument/2006/relationships/hyperlink" Target="https://www.boxofficemojo.com/release/rl1532659201/?ref_=bo_ql_table_13" TargetMode="External"/><Relationship Id="rId251" Type="http://schemas.openxmlformats.org/officeDocument/2006/relationships/hyperlink" Target="https://www.boxofficemojo.com/quarter/q3/2003/?ref_=bo_ql_table_23" TargetMode="External"/><Relationship Id="rId372" Type="http://schemas.openxmlformats.org/officeDocument/2006/relationships/hyperlink" Target="https://www.boxofficemojo.com/release/rl2085520897/?ref_=bo_ql_table_32" TargetMode="External"/><Relationship Id="rId250" Type="http://schemas.openxmlformats.org/officeDocument/2006/relationships/hyperlink" Target="https://www.boxofficemojo.com/release/rl896763393/?ref_=bo_ql_table_22" TargetMode="External"/><Relationship Id="rId371" Type="http://schemas.openxmlformats.org/officeDocument/2006/relationships/hyperlink" Target="https://www.boxofficemojo.com/quarter/q4/1993/?ref_=bo_ql_table_32" TargetMode="External"/><Relationship Id="rId136" Type="http://schemas.openxmlformats.org/officeDocument/2006/relationships/hyperlink" Target="https://www.boxofficemojo.com/release/rl1515881985/?ref_=bo_ql_table_16" TargetMode="External"/><Relationship Id="rId257" Type="http://schemas.openxmlformats.org/officeDocument/2006/relationships/hyperlink" Target="https://www.boxofficemojo.com/quarter/q3/2000/?ref_=bo_ql_table_26" TargetMode="External"/><Relationship Id="rId378" Type="http://schemas.openxmlformats.org/officeDocument/2006/relationships/hyperlink" Target="https://www.boxofficemojo.com/release/rl3629745665/?ref_=bo_ql_table_35" TargetMode="External"/><Relationship Id="rId135" Type="http://schemas.openxmlformats.org/officeDocument/2006/relationships/hyperlink" Target="https://www.boxofficemojo.com/quarter/q2/2010/?ref_=bo_ql_table_16" TargetMode="External"/><Relationship Id="rId256" Type="http://schemas.openxmlformats.org/officeDocument/2006/relationships/hyperlink" Target="https://www.boxofficemojo.com/release/rl795837953/?ref_=bo_ql_table_25" TargetMode="External"/><Relationship Id="rId377" Type="http://schemas.openxmlformats.org/officeDocument/2006/relationships/hyperlink" Target="https://www.boxofficemojo.com/quarter/q4/1990/?ref_=bo_ql_table_35" TargetMode="External"/><Relationship Id="rId134" Type="http://schemas.openxmlformats.org/officeDocument/2006/relationships/hyperlink" Target="https://www.boxofficemojo.com/release/rl408323585/?ref_=bo_ql_table_15" TargetMode="External"/><Relationship Id="rId255" Type="http://schemas.openxmlformats.org/officeDocument/2006/relationships/hyperlink" Target="https://www.boxofficemojo.com/quarter/q3/2001/?ref_=bo_ql_table_25" TargetMode="External"/><Relationship Id="rId376" Type="http://schemas.openxmlformats.org/officeDocument/2006/relationships/hyperlink" Target="https://www.boxofficemojo.com/release/rl1749059073/?ref_=bo_ql_table_34" TargetMode="External"/><Relationship Id="rId133" Type="http://schemas.openxmlformats.org/officeDocument/2006/relationships/hyperlink" Target="https://www.boxofficemojo.com/quarter/q2/2011/?ref_=bo_ql_table_15" TargetMode="External"/><Relationship Id="rId254" Type="http://schemas.openxmlformats.org/officeDocument/2006/relationships/hyperlink" Target="https://www.boxofficemojo.com/release/rl1685161473/?ref_=bo_ql_table_24" TargetMode="External"/><Relationship Id="rId375" Type="http://schemas.openxmlformats.org/officeDocument/2006/relationships/hyperlink" Target="https://www.boxofficemojo.com/quarter/q4/1991/?ref_=bo_ql_table_34" TargetMode="External"/><Relationship Id="rId172" Type="http://schemas.openxmlformats.org/officeDocument/2006/relationships/hyperlink" Target="https://www.boxofficemojo.com/release/rl1616807425/?ref_=bo_ql_table_34" TargetMode="External"/><Relationship Id="rId293" Type="http://schemas.openxmlformats.org/officeDocument/2006/relationships/hyperlink" Target="https://www.boxofficemojo.com/quarter/q3/1982/?ref_=bo_ql_table_44" TargetMode="External"/><Relationship Id="rId171" Type="http://schemas.openxmlformats.org/officeDocument/2006/relationships/hyperlink" Target="https://www.boxofficemojo.com/quarter/q2/1992/?ref_=bo_ql_table_34" TargetMode="External"/><Relationship Id="rId292" Type="http://schemas.openxmlformats.org/officeDocument/2006/relationships/hyperlink" Target="https://www.boxofficemojo.com/release/rl2792588801/?ref_=bo_ql_table_43" TargetMode="External"/><Relationship Id="rId170" Type="http://schemas.openxmlformats.org/officeDocument/2006/relationships/hyperlink" Target="https://www.boxofficemojo.com/release/rl2354939393/?ref_=bo_ql_table_33" TargetMode="External"/><Relationship Id="rId291" Type="http://schemas.openxmlformats.org/officeDocument/2006/relationships/hyperlink" Target="https://www.boxofficemojo.com/quarter/q3/1983/?ref_=bo_ql_table_43" TargetMode="External"/><Relationship Id="rId290" Type="http://schemas.openxmlformats.org/officeDocument/2006/relationships/hyperlink" Target="https://www.boxofficemojo.com/release/rl3696592385/?ref_=bo_ql_table_42" TargetMode="External"/><Relationship Id="rId165" Type="http://schemas.openxmlformats.org/officeDocument/2006/relationships/hyperlink" Target="https://www.boxofficemojo.com/quarter/q2/1995/?ref_=bo_ql_table_31" TargetMode="External"/><Relationship Id="rId286" Type="http://schemas.openxmlformats.org/officeDocument/2006/relationships/hyperlink" Target="https://www.boxofficemojo.com/release/rl3395126785/?ref_=bo_ql_table_40" TargetMode="External"/><Relationship Id="rId164" Type="http://schemas.openxmlformats.org/officeDocument/2006/relationships/hyperlink" Target="https://www.boxofficemojo.com/release/rl1886815745/?ref_=bo_ql_table_30" TargetMode="External"/><Relationship Id="rId285" Type="http://schemas.openxmlformats.org/officeDocument/2006/relationships/hyperlink" Target="https://www.boxofficemojo.com/quarter/q3/1986/?ref_=bo_ql_table_40" TargetMode="External"/><Relationship Id="rId163" Type="http://schemas.openxmlformats.org/officeDocument/2006/relationships/hyperlink" Target="https://www.boxofficemojo.com/quarter/q2/1996/?ref_=bo_ql_table_30" TargetMode="External"/><Relationship Id="rId284" Type="http://schemas.openxmlformats.org/officeDocument/2006/relationships/hyperlink" Target="https://www.boxofficemojo.com/release/rl1735624193/?ref_=bo_ql_table_39" TargetMode="External"/><Relationship Id="rId162" Type="http://schemas.openxmlformats.org/officeDocument/2006/relationships/hyperlink" Target="https://www.boxofficemojo.com/release/rl2405271041/?ref_=bo_ql_table_29" TargetMode="External"/><Relationship Id="rId283" Type="http://schemas.openxmlformats.org/officeDocument/2006/relationships/hyperlink" Target="https://www.boxofficemojo.com/quarter/q3/1987/?ref_=bo_ql_table_39" TargetMode="External"/><Relationship Id="rId169" Type="http://schemas.openxmlformats.org/officeDocument/2006/relationships/hyperlink" Target="https://www.boxofficemojo.com/quarter/q2/1993/?ref_=bo_ql_table_33" TargetMode="External"/><Relationship Id="rId168" Type="http://schemas.openxmlformats.org/officeDocument/2006/relationships/hyperlink" Target="https://www.boxofficemojo.com/release/rl676496897/?ref_=bo_ql_table_32" TargetMode="External"/><Relationship Id="rId289" Type="http://schemas.openxmlformats.org/officeDocument/2006/relationships/hyperlink" Target="https://www.boxofficemojo.com/quarter/q3/1984/?ref_=bo_ql_table_42" TargetMode="External"/><Relationship Id="rId167" Type="http://schemas.openxmlformats.org/officeDocument/2006/relationships/hyperlink" Target="https://www.boxofficemojo.com/quarter/q2/1994/?ref_=bo_ql_table_32" TargetMode="External"/><Relationship Id="rId288" Type="http://schemas.openxmlformats.org/officeDocument/2006/relationships/hyperlink" Target="https://www.boxofficemojo.com/release/rl2974385665/?ref_=bo_ql_table_41" TargetMode="External"/><Relationship Id="rId166" Type="http://schemas.openxmlformats.org/officeDocument/2006/relationships/hyperlink" Target="https://www.boxofficemojo.com/release/rl3494217217/?ref_=bo_ql_table_31" TargetMode="External"/><Relationship Id="rId287" Type="http://schemas.openxmlformats.org/officeDocument/2006/relationships/hyperlink" Target="https://www.boxofficemojo.com/quarter/q3/1985/?ref_=bo_ql_table_41" TargetMode="External"/><Relationship Id="rId161" Type="http://schemas.openxmlformats.org/officeDocument/2006/relationships/hyperlink" Target="https://www.boxofficemojo.com/quarter/q2/1997/?ref_=bo_ql_table_29" TargetMode="External"/><Relationship Id="rId282" Type="http://schemas.openxmlformats.org/officeDocument/2006/relationships/hyperlink" Target="https://www.boxofficemojo.com/release/rl3058337281/?ref_=bo_ql_table_38" TargetMode="External"/><Relationship Id="rId160" Type="http://schemas.openxmlformats.org/officeDocument/2006/relationships/hyperlink" Target="https://www.boxofficemojo.com/release/rl3444344321/?ref_=bo_ql_table_28" TargetMode="External"/><Relationship Id="rId281" Type="http://schemas.openxmlformats.org/officeDocument/2006/relationships/hyperlink" Target="https://www.boxofficemojo.com/quarter/q3/1988/?ref_=bo_ql_table_38" TargetMode="External"/><Relationship Id="rId280" Type="http://schemas.openxmlformats.org/officeDocument/2006/relationships/hyperlink" Target="https://www.boxofficemojo.com/release/rl3695543809/?ref_=bo_ql_table_37" TargetMode="External"/><Relationship Id="rId159" Type="http://schemas.openxmlformats.org/officeDocument/2006/relationships/hyperlink" Target="https://www.boxofficemojo.com/quarter/q2/1998/?ref_=bo_ql_table_28" TargetMode="External"/><Relationship Id="rId154" Type="http://schemas.openxmlformats.org/officeDocument/2006/relationships/hyperlink" Target="https://www.boxofficemojo.com/release/rl7439873/?ref_=bo_ql_table_25" TargetMode="External"/><Relationship Id="rId275" Type="http://schemas.openxmlformats.org/officeDocument/2006/relationships/hyperlink" Target="https://www.boxofficemojo.com/quarter/q3/1991/?ref_=bo_ql_table_35" TargetMode="External"/><Relationship Id="rId396" Type="http://schemas.openxmlformats.org/officeDocument/2006/relationships/hyperlink" Target="https://www.boxofficemojo.com/release/rl3310847489/?ref_=bo_ql_table_44" TargetMode="External"/><Relationship Id="rId153" Type="http://schemas.openxmlformats.org/officeDocument/2006/relationships/hyperlink" Target="https://www.boxofficemojo.com/quarter/q2/2001/?ref_=bo_ql_table_25" TargetMode="External"/><Relationship Id="rId274" Type="http://schemas.openxmlformats.org/officeDocument/2006/relationships/hyperlink" Target="https://www.boxofficemojo.com/release/rl3529475585/?ref_=bo_ql_table_34" TargetMode="External"/><Relationship Id="rId395" Type="http://schemas.openxmlformats.org/officeDocument/2006/relationships/hyperlink" Target="https://www.boxofficemojo.com/quarter/q4/1981/?ref_=bo_ql_table_44" TargetMode="External"/><Relationship Id="rId152" Type="http://schemas.openxmlformats.org/officeDocument/2006/relationships/hyperlink" Target="https://www.boxofficemojo.com/release/rl678659585/?ref_=bo_ql_table_24" TargetMode="External"/><Relationship Id="rId273" Type="http://schemas.openxmlformats.org/officeDocument/2006/relationships/hyperlink" Target="https://www.boxofficemojo.com/quarter/q3/1992/?ref_=bo_ql_table_34" TargetMode="External"/><Relationship Id="rId394" Type="http://schemas.openxmlformats.org/officeDocument/2006/relationships/hyperlink" Target="https://www.boxofficemojo.com/release/rl995132929/?ref_=bo_ql_table_43" TargetMode="External"/><Relationship Id="rId151" Type="http://schemas.openxmlformats.org/officeDocument/2006/relationships/hyperlink" Target="https://www.boxofficemojo.com/quarter/q2/2002/?ref_=bo_ql_table_24" TargetMode="External"/><Relationship Id="rId272" Type="http://schemas.openxmlformats.org/officeDocument/2006/relationships/hyperlink" Target="https://www.boxofficemojo.com/release/rl206931457/?ref_=bo_ql_table_33" TargetMode="External"/><Relationship Id="rId393" Type="http://schemas.openxmlformats.org/officeDocument/2006/relationships/hyperlink" Target="https://www.boxofficemojo.com/quarter/q4/1982/?ref_=bo_ql_table_43" TargetMode="External"/><Relationship Id="rId158" Type="http://schemas.openxmlformats.org/officeDocument/2006/relationships/hyperlink" Target="https://www.boxofficemojo.com/release/rl2742257153/?ref_=bo_ql_table_27" TargetMode="External"/><Relationship Id="rId279" Type="http://schemas.openxmlformats.org/officeDocument/2006/relationships/hyperlink" Target="https://www.boxofficemojo.com/quarter/q3/1989/?ref_=bo_ql_table_37" TargetMode="External"/><Relationship Id="rId157" Type="http://schemas.openxmlformats.org/officeDocument/2006/relationships/hyperlink" Target="https://www.boxofficemojo.com/quarter/q2/1999/?ref_=bo_ql_table_27" TargetMode="External"/><Relationship Id="rId278" Type="http://schemas.openxmlformats.org/officeDocument/2006/relationships/hyperlink" Target="https://www.boxofficemojo.com/release/rl3864364545/?ref_=bo_ql_table_36" TargetMode="External"/><Relationship Id="rId399" Type="http://schemas.openxmlformats.org/officeDocument/2006/relationships/hyperlink" Target="https://www.boxofficemojo.com/quarter/q4/1979/?ref_=bo_ql_table_46" TargetMode="External"/><Relationship Id="rId156" Type="http://schemas.openxmlformats.org/officeDocument/2006/relationships/hyperlink" Target="https://www.boxofficemojo.com/release/rl1600292353/?ref_=bo_ql_table_26" TargetMode="External"/><Relationship Id="rId277" Type="http://schemas.openxmlformats.org/officeDocument/2006/relationships/hyperlink" Target="https://www.boxofficemojo.com/quarter/q3/1990/?ref_=bo_ql_table_36" TargetMode="External"/><Relationship Id="rId398" Type="http://schemas.openxmlformats.org/officeDocument/2006/relationships/hyperlink" Target="https://www.boxofficemojo.com/release/rl876643841/?ref_=bo_ql_table_45" TargetMode="External"/><Relationship Id="rId155" Type="http://schemas.openxmlformats.org/officeDocument/2006/relationships/hyperlink" Target="https://www.boxofficemojo.com/quarter/q2/2000/?ref_=bo_ql_table_26" TargetMode="External"/><Relationship Id="rId276" Type="http://schemas.openxmlformats.org/officeDocument/2006/relationships/hyperlink" Target="https://www.boxofficemojo.com/release/rl3396699649/?ref_=bo_ql_table_35" TargetMode="External"/><Relationship Id="rId397" Type="http://schemas.openxmlformats.org/officeDocument/2006/relationships/hyperlink" Target="https://www.boxofficemojo.com/quarter/q4/1980/?ref_=bo_ql_table_45" TargetMode="External"/><Relationship Id="rId40" Type="http://schemas.openxmlformats.org/officeDocument/2006/relationships/hyperlink" Target="https://www.boxofficemojo.com/release/rl4016080385/?ref_=bo_ql_table_17" TargetMode="External"/><Relationship Id="rId42" Type="http://schemas.openxmlformats.org/officeDocument/2006/relationships/hyperlink" Target="https://www.boxofficemojo.com/release/rl509117953/?ref_=bo_ql_table_18" TargetMode="External"/><Relationship Id="rId41" Type="http://schemas.openxmlformats.org/officeDocument/2006/relationships/hyperlink" Target="https://www.boxofficemojo.com/quarter/q1/2008/?ref_=bo_ql_table_18" TargetMode="External"/><Relationship Id="rId44" Type="http://schemas.openxmlformats.org/officeDocument/2006/relationships/hyperlink" Target="https://www.boxofficemojo.com/release/rl3191965185/?ref_=bo_ql_table_19" TargetMode="External"/><Relationship Id="rId43" Type="http://schemas.openxmlformats.org/officeDocument/2006/relationships/hyperlink" Target="https://www.boxofficemojo.com/quarter/q1/2007/?ref_=bo_ql_table_19" TargetMode="External"/><Relationship Id="rId46" Type="http://schemas.openxmlformats.org/officeDocument/2006/relationships/hyperlink" Target="https://www.boxofficemojo.com/release/rl2355660289/?ref_=bo_ql_table_20" TargetMode="External"/><Relationship Id="rId45" Type="http://schemas.openxmlformats.org/officeDocument/2006/relationships/hyperlink" Target="https://www.boxofficemojo.com/quarter/q1/2006/?ref_=bo_ql_table_20" TargetMode="External"/><Relationship Id="rId48" Type="http://schemas.openxmlformats.org/officeDocument/2006/relationships/hyperlink" Target="https://www.boxofficemojo.com/release/rl2606335489/?ref_=bo_ql_table_21" TargetMode="External"/><Relationship Id="rId47" Type="http://schemas.openxmlformats.org/officeDocument/2006/relationships/hyperlink" Target="https://www.boxofficemojo.com/quarter/q1/2005/?ref_=bo_ql_table_21" TargetMode="External"/><Relationship Id="rId49" Type="http://schemas.openxmlformats.org/officeDocument/2006/relationships/hyperlink" Target="https://www.boxofficemojo.com/quarter/q1/2004/?ref_=bo_ql_table_22" TargetMode="External"/><Relationship Id="rId31" Type="http://schemas.openxmlformats.org/officeDocument/2006/relationships/hyperlink" Target="https://www.boxofficemojo.com/quarter/q1/2013/?ref_=bo_ql_table_13" TargetMode="External"/><Relationship Id="rId30" Type="http://schemas.openxmlformats.org/officeDocument/2006/relationships/hyperlink" Target="https://www.boxofficemojo.com/release/rl643728897/?ref_=bo_ql_table_12" TargetMode="External"/><Relationship Id="rId33" Type="http://schemas.openxmlformats.org/officeDocument/2006/relationships/hyperlink" Target="https://www.boxofficemojo.com/quarter/q1/2012/?ref_=bo_ql_table_14" TargetMode="External"/><Relationship Id="rId32" Type="http://schemas.openxmlformats.org/officeDocument/2006/relationships/hyperlink" Target="https://www.boxofficemojo.com/release/rl1567196673/?ref_=bo_ql_table_13" TargetMode="External"/><Relationship Id="rId35" Type="http://schemas.openxmlformats.org/officeDocument/2006/relationships/hyperlink" Target="https://www.boxofficemojo.com/quarter/q1/2011/?ref_=bo_ql_table_15" TargetMode="External"/><Relationship Id="rId34" Type="http://schemas.openxmlformats.org/officeDocument/2006/relationships/hyperlink" Target="https://www.boxofficemojo.com/release/rl4049110529/?ref_=bo_ql_table_14" TargetMode="External"/><Relationship Id="rId37" Type="http://schemas.openxmlformats.org/officeDocument/2006/relationships/hyperlink" Target="https://www.boxofficemojo.com/quarter/q1/2010/?ref_=bo_ql_table_16" TargetMode="External"/><Relationship Id="rId36" Type="http://schemas.openxmlformats.org/officeDocument/2006/relationships/hyperlink" Target="https://www.boxofficemojo.com/release/rl3042739713/?ref_=bo_ql_table_15" TargetMode="External"/><Relationship Id="rId39" Type="http://schemas.openxmlformats.org/officeDocument/2006/relationships/hyperlink" Target="https://www.boxofficemojo.com/quarter/q1/2009/?ref_=bo_ql_table_17" TargetMode="External"/><Relationship Id="rId38" Type="http://schemas.openxmlformats.org/officeDocument/2006/relationships/hyperlink" Target="https://www.boxofficemojo.com/release/rl876971521/?ref_=bo_ql_table_16" TargetMode="External"/><Relationship Id="rId20" Type="http://schemas.openxmlformats.org/officeDocument/2006/relationships/hyperlink" Target="https://www.boxofficemojo.com/release/rl3009644033/?ref_=bo_ql_table_7" TargetMode="External"/><Relationship Id="rId22" Type="http://schemas.openxmlformats.org/officeDocument/2006/relationships/hyperlink" Target="https://www.boxofficemojo.com/release/rl2992866817/?ref_=bo_ql_table_8" TargetMode="External"/><Relationship Id="rId21" Type="http://schemas.openxmlformats.org/officeDocument/2006/relationships/hyperlink" Target="https://www.boxofficemojo.com/quarter/q1/2018/?ref_=bo_ql_table_8" TargetMode="External"/><Relationship Id="rId24" Type="http://schemas.openxmlformats.org/officeDocument/2006/relationships/hyperlink" Target="https://www.boxofficemojo.com/release/rl222594561/?ref_=bo_ql_table_9" TargetMode="External"/><Relationship Id="rId23" Type="http://schemas.openxmlformats.org/officeDocument/2006/relationships/hyperlink" Target="https://www.boxofficemojo.com/quarter/q1/2017/?ref_=bo_ql_table_9" TargetMode="External"/><Relationship Id="rId409" Type="http://schemas.openxmlformats.org/officeDocument/2006/relationships/hyperlink" Target="https://www.boxofficemojo.com/quarter/q4/1972/?ref_=bo_ql_table_51" TargetMode="External"/><Relationship Id="rId404" Type="http://schemas.openxmlformats.org/officeDocument/2006/relationships/hyperlink" Target="https://www.boxofficemojo.com/release/rl2759034369/?ref_=bo_ql_table_48" TargetMode="External"/><Relationship Id="rId403" Type="http://schemas.openxmlformats.org/officeDocument/2006/relationships/hyperlink" Target="https://www.boxofficemojo.com/quarter/q4/1977/?ref_=bo_ql_table_48" TargetMode="External"/><Relationship Id="rId402" Type="http://schemas.openxmlformats.org/officeDocument/2006/relationships/hyperlink" Target="https://www.boxofficemojo.com/release/rl105940481/?ref_=bo_ql_table_47" TargetMode="External"/><Relationship Id="rId401" Type="http://schemas.openxmlformats.org/officeDocument/2006/relationships/hyperlink" Target="https://www.boxofficemojo.com/quarter/q4/1978/?ref_=bo_ql_table_47" TargetMode="External"/><Relationship Id="rId408" Type="http://schemas.openxmlformats.org/officeDocument/2006/relationships/hyperlink" Target="https://www.boxofficemojo.com/release/rl3545925121/?ref_=bo_ql_table_50" TargetMode="External"/><Relationship Id="rId407" Type="http://schemas.openxmlformats.org/officeDocument/2006/relationships/hyperlink" Target="https://www.boxofficemojo.com/quarter/q4/1975/?ref_=bo_ql_table_50" TargetMode="External"/><Relationship Id="rId406" Type="http://schemas.openxmlformats.org/officeDocument/2006/relationships/hyperlink" Target="https://www.boxofficemojo.com/release/rl1079805441/?ref_=bo_ql_table_49" TargetMode="External"/><Relationship Id="rId405" Type="http://schemas.openxmlformats.org/officeDocument/2006/relationships/hyperlink" Target="https://www.boxofficemojo.com/quarter/q4/1976/?ref_=bo_ql_table_49" TargetMode="External"/><Relationship Id="rId26" Type="http://schemas.openxmlformats.org/officeDocument/2006/relationships/hyperlink" Target="https://www.boxofficemojo.com/release/rl2588706305/?ref_=bo_ql_table_10" TargetMode="External"/><Relationship Id="rId25" Type="http://schemas.openxmlformats.org/officeDocument/2006/relationships/hyperlink" Target="https://www.boxofficemojo.com/quarter/q1/2016/?ref_=bo_ql_table_10" TargetMode="External"/><Relationship Id="rId28" Type="http://schemas.openxmlformats.org/officeDocument/2006/relationships/hyperlink" Target="https://www.boxofficemojo.com/release/rl2923660801/?ref_=bo_ql_table_11" TargetMode="External"/><Relationship Id="rId27" Type="http://schemas.openxmlformats.org/officeDocument/2006/relationships/hyperlink" Target="https://www.boxofficemojo.com/quarter/q1/2015/?ref_=bo_ql_table_11" TargetMode="External"/><Relationship Id="rId400" Type="http://schemas.openxmlformats.org/officeDocument/2006/relationships/hyperlink" Target="https://www.boxofficemojo.com/release/rl2977138177/?ref_=bo_ql_table_46" TargetMode="External"/><Relationship Id="rId29" Type="http://schemas.openxmlformats.org/officeDocument/2006/relationships/hyperlink" Target="https://www.boxofficemojo.com/quarter/q1/2014/?ref_=bo_ql_table_12" TargetMode="External"/><Relationship Id="rId11" Type="http://schemas.openxmlformats.org/officeDocument/2006/relationships/hyperlink" Target="https://www.boxofficemojo.com/quarter/q1/2023/?ref_=bo_ql_table_3" TargetMode="External"/><Relationship Id="rId10" Type="http://schemas.openxmlformats.org/officeDocument/2006/relationships/hyperlink" Target="https://www.boxofficemojo.com/release/rl68715265/?ref_=bo_ql_table_2" TargetMode="External"/><Relationship Id="rId13" Type="http://schemas.openxmlformats.org/officeDocument/2006/relationships/hyperlink" Target="https://www.boxofficemojo.com/quarter/q1/2022/?ref_=bo_ql_table_4" TargetMode="External"/><Relationship Id="rId12" Type="http://schemas.openxmlformats.org/officeDocument/2006/relationships/hyperlink" Target="https://www.boxofficemojo.com/release/rl3372254721/?ref_=bo_ql_table_3" TargetMode="External"/><Relationship Id="rId15" Type="http://schemas.openxmlformats.org/officeDocument/2006/relationships/hyperlink" Target="https://www.boxofficemojo.com/quarter/q1/2021/?ref_=bo_ql_table_5" TargetMode="External"/><Relationship Id="rId14" Type="http://schemas.openxmlformats.org/officeDocument/2006/relationships/hyperlink" Target="https://www.boxofficemojo.com/release/rl67732993/?ref_=bo_ql_table_4" TargetMode="External"/><Relationship Id="rId17" Type="http://schemas.openxmlformats.org/officeDocument/2006/relationships/hyperlink" Target="https://www.boxofficemojo.com/quarter/q1/2020/?ref_=bo_ql_table_6" TargetMode="External"/><Relationship Id="rId16" Type="http://schemas.openxmlformats.org/officeDocument/2006/relationships/hyperlink" Target="https://www.boxofficemojo.com/release/rl2399766017/?ref_=bo_ql_table_5" TargetMode="External"/><Relationship Id="rId19" Type="http://schemas.openxmlformats.org/officeDocument/2006/relationships/hyperlink" Target="https://www.boxofficemojo.com/quarter/q1/2019/?ref_=bo_ql_table_7" TargetMode="External"/><Relationship Id="rId18" Type="http://schemas.openxmlformats.org/officeDocument/2006/relationships/hyperlink" Target="https://www.boxofficemojo.com/release/rl1182631425/?ref_=bo_ql_table_6" TargetMode="External"/><Relationship Id="rId84" Type="http://schemas.openxmlformats.org/officeDocument/2006/relationships/hyperlink" Target="https://www.boxofficemojo.com/release/rl3446179329/?ref_=bo_ql_table_39" TargetMode="External"/><Relationship Id="rId83" Type="http://schemas.openxmlformats.org/officeDocument/2006/relationships/hyperlink" Target="https://www.boxofficemojo.com/quarter/q1/1987/?ref_=bo_ql_table_39" TargetMode="External"/><Relationship Id="rId86" Type="http://schemas.openxmlformats.org/officeDocument/2006/relationships/hyperlink" Target="https://www.boxofficemojo.com/release/rl71992833/?ref_=bo_ql_table_40" TargetMode="External"/><Relationship Id="rId85" Type="http://schemas.openxmlformats.org/officeDocument/2006/relationships/hyperlink" Target="https://www.boxofficemojo.com/quarter/q1/1986/?ref_=bo_ql_table_40" TargetMode="External"/><Relationship Id="rId88" Type="http://schemas.openxmlformats.org/officeDocument/2006/relationships/hyperlink" Target="https://www.boxofficemojo.com/release/rl3880027649/?ref_=bo_ql_table_41" TargetMode="External"/><Relationship Id="rId87" Type="http://schemas.openxmlformats.org/officeDocument/2006/relationships/hyperlink" Target="https://www.boxofficemojo.com/quarter/q1/1985/?ref_=bo_ql_table_41" TargetMode="External"/><Relationship Id="rId89" Type="http://schemas.openxmlformats.org/officeDocument/2006/relationships/hyperlink" Target="https://www.boxofficemojo.com/quarter/q1/1984/?ref_=bo_ql_table_42" TargetMode="External"/><Relationship Id="rId80" Type="http://schemas.openxmlformats.org/officeDocument/2006/relationships/hyperlink" Target="https://www.boxofficemojo.com/release/rl3999958529/?ref_=bo_ql_table_37" TargetMode="External"/><Relationship Id="rId82" Type="http://schemas.openxmlformats.org/officeDocument/2006/relationships/hyperlink" Target="https://www.boxofficemojo.com/release/rl3713304065/?ref_=bo_ql_table_38" TargetMode="External"/><Relationship Id="rId81" Type="http://schemas.openxmlformats.org/officeDocument/2006/relationships/hyperlink" Target="https://www.boxofficemojo.com/quarter/q1/1988/?ref_=bo_ql_table_38" TargetMode="External"/><Relationship Id="rId73" Type="http://schemas.openxmlformats.org/officeDocument/2006/relationships/hyperlink" Target="https://www.boxofficemojo.com/quarter/q1/1992/?ref_=bo_ql_table_34" TargetMode="External"/><Relationship Id="rId72" Type="http://schemas.openxmlformats.org/officeDocument/2006/relationships/hyperlink" Target="https://www.boxofficemojo.com/release/rl4148200961/?ref_=bo_ql_table_33" TargetMode="External"/><Relationship Id="rId75" Type="http://schemas.openxmlformats.org/officeDocument/2006/relationships/hyperlink" Target="https://www.boxofficemojo.com/quarter/q1/1991/?ref_=bo_ql_table_35" TargetMode="External"/><Relationship Id="rId74" Type="http://schemas.openxmlformats.org/officeDocument/2006/relationships/hyperlink" Target="https://www.boxofficemojo.com/release/rl3245966849/?ref_=bo_ql_table_34" TargetMode="External"/><Relationship Id="rId77" Type="http://schemas.openxmlformats.org/officeDocument/2006/relationships/hyperlink" Target="https://www.boxofficemojo.com/quarter/q1/1990/?ref_=bo_ql_table_36" TargetMode="External"/><Relationship Id="rId76" Type="http://schemas.openxmlformats.org/officeDocument/2006/relationships/hyperlink" Target="https://www.boxofficemojo.com/release/rl3629745665/?ref_=bo_ql_table_35" TargetMode="External"/><Relationship Id="rId79" Type="http://schemas.openxmlformats.org/officeDocument/2006/relationships/hyperlink" Target="https://www.boxofficemojo.com/quarter/q1/1989/?ref_=bo_ql_table_37" TargetMode="External"/><Relationship Id="rId78" Type="http://schemas.openxmlformats.org/officeDocument/2006/relationships/hyperlink" Target="https://www.boxofficemojo.com/release/rl2790163969/?ref_=bo_ql_table_36" TargetMode="External"/><Relationship Id="rId71" Type="http://schemas.openxmlformats.org/officeDocument/2006/relationships/hyperlink" Target="https://www.boxofficemojo.com/quarter/q1/1993/?ref_=bo_ql_table_33" TargetMode="External"/><Relationship Id="rId70" Type="http://schemas.openxmlformats.org/officeDocument/2006/relationships/hyperlink" Target="https://www.boxofficemojo.com/release/rl2085520897/?ref_=bo_ql_table_32" TargetMode="External"/><Relationship Id="rId62" Type="http://schemas.openxmlformats.org/officeDocument/2006/relationships/hyperlink" Target="https://www.boxofficemojo.com/release/rl3698624001/?ref_=bo_ql_table_28" TargetMode="External"/><Relationship Id="rId61" Type="http://schemas.openxmlformats.org/officeDocument/2006/relationships/hyperlink" Target="https://www.boxofficemojo.com/quarter/q1/1998/?ref_=bo_ql_table_28" TargetMode="External"/><Relationship Id="rId64" Type="http://schemas.openxmlformats.org/officeDocument/2006/relationships/hyperlink" Target="https://www.boxofficemojo.com/release/rl3379725825/?ref_=bo_ql_table_29" TargetMode="External"/><Relationship Id="rId63" Type="http://schemas.openxmlformats.org/officeDocument/2006/relationships/hyperlink" Target="https://www.boxofficemojo.com/quarter/q1/1997/?ref_=bo_ql_table_29" TargetMode="External"/><Relationship Id="rId66" Type="http://schemas.openxmlformats.org/officeDocument/2006/relationships/hyperlink" Target="https://www.boxofficemojo.com/release/rl4284057089/?ref_=bo_ql_table_30" TargetMode="External"/><Relationship Id="rId65" Type="http://schemas.openxmlformats.org/officeDocument/2006/relationships/hyperlink" Target="https://www.boxofficemojo.com/quarter/q1/1996/?ref_=bo_ql_table_30" TargetMode="External"/><Relationship Id="rId68" Type="http://schemas.openxmlformats.org/officeDocument/2006/relationships/hyperlink" Target="https://www.boxofficemojo.com/release/rl4014900737/?ref_=bo_ql_table_31" TargetMode="External"/><Relationship Id="rId67" Type="http://schemas.openxmlformats.org/officeDocument/2006/relationships/hyperlink" Target="https://www.boxofficemojo.com/quarter/q1/1995/?ref_=bo_ql_table_31" TargetMode="External"/><Relationship Id="rId60" Type="http://schemas.openxmlformats.org/officeDocument/2006/relationships/hyperlink" Target="https://www.boxofficemojo.com/release/rl3597239809/?ref_=bo_ql_table_27" TargetMode="External"/><Relationship Id="rId69" Type="http://schemas.openxmlformats.org/officeDocument/2006/relationships/hyperlink" Target="https://www.boxofficemojo.com/quarter/q1/1994/?ref_=bo_ql_table_32" TargetMode="External"/><Relationship Id="rId51" Type="http://schemas.openxmlformats.org/officeDocument/2006/relationships/hyperlink" Target="https://www.boxofficemojo.com/quarter/q1/2003/?ref_=bo_ql_table_23" TargetMode="External"/><Relationship Id="rId50" Type="http://schemas.openxmlformats.org/officeDocument/2006/relationships/hyperlink" Target="https://www.boxofficemojo.com/release/rl3781789185/?ref_=bo_ql_table_22" TargetMode="External"/><Relationship Id="rId53" Type="http://schemas.openxmlformats.org/officeDocument/2006/relationships/hyperlink" Target="https://www.boxofficemojo.com/quarter/q1/2002/?ref_=bo_ql_table_24" TargetMode="External"/><Relationship Id="rId52" Type="http://schemas.openxmlformats.org/officeDocument/2006/relationships/hyperlink" Target="https://www.boxofficemojo.com/release/rl1816888833/?ref_=bo_ql_table_23" TargetMode="External"/><Relationship Id="rId55" Type="http://schemas.openxmlformats.org/officeDocument/2006/relationships/hyperlink" Target="https://www.boxofficemojo.com/quarter/q1/2001/?ref_=bo_ql_table_25" TargetMode="External"/><Relationship Id="rId54" Type="http://schemas.openxmlformats.org/officeDocument/2006/relationships/hyperlink" Target="https://www.boxofficemojo.com/release/rl21399041/?ref_=bo_ql_table_24" TargetMode="External"/><Relationship Id="rId57" Type="http://schemas.openxmlformats.org/officeDocument/2006/relationships/hyperlink" Target="https://www.boxofficemojo.com/quarter/q1/2000/?ref_=bo_ql_table_26" TargetMode="External"/><Relationship Id="rId56" Type="http://schemas.openxmlformats.org/officeDocument/2006/relationships/hyperlink" Target="https://www.boxofficemojo.com/release/rl357991937/?ref_=bo_ql_table_25" TargetMode="External"/><Relationship Id="rId59" Type="http://schemas.openxmlformats.org/officeDocument/2006/relationships/hyperlink" Target="https://www.boxofficemojo.com/quarter/q1/1999/?ref_=bo_ql_table_27" TargetMode="External"/><Relationship Id="rId58" Type="http://schemas.openxmlformats.org/officeDocument/2006/relationships/hyperlink" Target="https://www.boxofficemojo.com/release/rl3614410241/?ref_=bo_ql_table_26" TargetMode="External"/><Relationship Id="rId107" Type="http://schemas.openxmlformats.org/officeDocument/2006/relationships/hyperlink" Target="https://www.boxofficemojo.com/quarter/q2/2024/?ref_=bo_ql_table_2" TargetMode="External"/><Relationship Id="rId228" Type="http://schemas.openxmlformats.org/officeDocument/2006/relationships/hyperlink" Target="https://www.boxofficemojo.com/release/rl2271380993/?ref_=bo_ql_table_11" TargetMode="External"/><Relationship Id="rId349" Type="http://schemas.openxmlformats.org/officeDocument/2006/relationships/hyperlink" Target="https://www.boxofficemojo.com/quarter/q4/2004/?ref_=bo_ql_table_21" TargetMode="External"/><Relationship Id="rId106" Type="http://schemas.openxmlformats.org/officeDocument/2006/relationships/hyperlink" Target="https://www.boxofficemojo.com/release/rl746096129/?ref_=bo_ql_table_1" TargetMode="External"/><Relationship Id="rId227" Type="http://schemas.openxmlformats.org/officeDocument/2006/relationships/hyperlink" Target="https://www.boxofficemojo.com/quarter/q3/2015/?ref_=bo_ql_table_11" TargetMode="External"/><Relationship Id="rId348" Type="http://schemas.openxmlformats.org/officeDocument/2006/relationships/hyperlink" Target="https://www.boxofficemojo.com/release/rl1466664449/?ref_=bo_ql_table_20" TargetMode="External"/><Relationship Id="rId105" Type="http://schemas.openxmlformats.org/officeDocument/2006/relationships/hyperlink" Target="https://www.boxofficemojo.com/quarter/q2/2025/?ref_=bo_ql_table_1" TargetMode="External"/><Relationship Id="rId226" Type="http://schemas.openxmlformats.org/officeDocument/2006/relationships/hyperlink" Target="https://www.boxofficemojo.com/release/rl2069595649/?ref_=bo_ql_table_10" TargetMode="External"/><Relationship Id="rId347" Type="http://schemas.openxmlformats.org/officeDocument/2006/relationships/hyperlink" Target="https://www.boxofficemojo.com/quarter/q4/2005/?ref_=bo_ql_table_20" TargetMode="External"/><Relationship Id="rId104" Type="http://schemas.openxmlformats.org/officeDocument/2006/relationships/hyperlink" Target="https://www.boxofficemojo.com/release/rl1381271041/?ref_=bo_ql_table_49" TargetMode="External"/><Relationship Id="rId225" Type="http://schemas.openxmlformats.org/officeDocument/2006/relationships/hyperlink" Target="https://www.boxofficemojo.com/quarter/q3/2016/?ref_=bo_ql_table_10" TargetMode="External"/><Relationship Id="rId346" Type="http://schemas.openxmlformats.org/officeDocument/2006/relationships/hyperlink" Target="https://www.boxofficemojo.com/release/rl2069267969/?ref_=bo_ql_table_19" TargetMode="External"/><Relationship Id="rId109" Type="http://schemas.openxmlformats.org/officeDocument/2006/relationships/hyperlink" Target="https://www.boxofficemojo.com/quarter/q2/2023/?ref_=bo_ql_table_3" TargetMode="External"/><Relationship Id="rId108" Type="http://schemas.openxmlformats.org/officeDocument/2006/relationships/hyperlink" Target="https://www.boxofficemojo.com/release/rl3638199041/?ref_=bo_ql_table_2" TargetMode="External"/><Relationship Id="rId229" Type="http://schemas.openxmlformats.org/officeDocument/2006/relationships/hyperlink" Target="https://www.boxofficemojo.com/quarter/q3/2014/?ref_=bo_ql_table_12" TargetMode="External"/><Relationship Id="rId220" Type="http://schemas.openxmlformats.org/officeDocument/2006/relationships/hyperlink" Target="https://www.boxofficemojo.com/release/rl3321923073/?ref_=bo_ql_table_7" TargetMode="External"/><Relationship Id="rId341" Type="http://schemas.openxmlformats.org/officeDocument/2006/relationships/hyperlink" Target="https://www.boxofficemojo.com/quarter/q4/2008/?ref_=bo_ql_table_17" TargetMode="External"/><Relationship Id="rId340" Type="http://schemas.openxmlformats.org/officeDocument/2006/relationships/hyperlink" Target="https://www.boxofficemojo.com/release/rl3479471617/?ref_=bo_ql_table_16" TargetMode="External"/><Relationship Id="rId103" Type="http://schemas.openxmlformats.org/officeDocument/2006/relationships/hyperlink" Target="https://www.boxofficemojo.com/quarter/q1/1972/?ref_=bo_ql_table_49" TargetMode="External"/><Relationship Id="rId224" Type="http://schemas.openxmlformats.org/officeDocument/2006/relationships/hyperlink" Target="https://www.boxofficemojo.com/release/rl863208961/?ref_=bo_ql_table_9" TargetMode="External"/><Relationship Id="rId345" Type="http://schemas.openxmlformats.org/officeDocument/2006/relationships/hyperlink" Target="https://www.boxofficemojo.com/quarter/q4/2006/?ref_=bo_ql_table_19" TargetMode="External"/><Relationship Id="rId102" Type="http://schemas.openxmlformats.org/officeDocument/2006/relationships/hyperlink" Target="https://www.boxofficemojo.com/release/rl2926544385/?ref_=bo_ql_table_48" TargetMode="External"/><Relationship Id="rId223" Type="http://schemas.openxmlformats.org/officeDocument/2006/relationships/hyperlink" Target="https://www.boxofficemojo.com/quarter/q3/2017/?ref_=bo_ql_table_9" TargetMode="External"/><Relationship Id="rId344" Type="http://schemas.openxmlformats.org/officeDocument/2006/relationships/hyperlink" Target="https://www.boxofficemojo.com/release/rl3394799105/?ref_=bo_ql_table_18" TargetMode="External"/><Relationship Id="rId101" Type="http://schemas.openxmlformats.org/officeDocument/2006/relationships/hyperlink" Target="https://www.boxofficemojo.com/quarter/q1/1978/?ref_=bo_ql_table_48" TargetMode="External"/><Relationship Id="rId222" Type="http://schemas.openxmlformats.org/officeDocument/2006/relationships/hyperlink" Target="https://www.boxofficemojo.com/release/rl2449573377/?ref_=bo_ql_table_8" TargetMode="External"/><Relationship Id="rId343" Type="http://schemas.openxmlformats.org/officeDocument/2006/relationships/hyperlink" Target="https://www.boxofficemojo.com/quarter/q4/2007/?ref_=bo_ql_table_18" TargetMode="External"/><Relationship Id="rId100" Type="http://schemas.openxmlformats.org/officeDocument/2006/relationships/hyperlink" Target="https://www.boxofficemojo.com/release/rl4050814465/?ref_=bo_ql_table_47" TargetMode="External"/><Relationship Id="rId221" Type="http://schemas.openxmlformats.org/officeDocument/2006/relationships/hyperlink" Target="https://www.boxofficemojo.com/quarter/q3/2018/?ref_=bo_ql_table_8" TargetMode="External"/><Relationship Id="rId342" Type="http://schemas.openxmlformats.org/officeDocument/2006/relationships/hyperlink" Target="https://www.boxofficemojo.com/release/rl1382057473/?ref_=bo_ql_table_17" TargetMode="External"/><Relationship Id="rId217" Type="http://schemas.openxmlformats.org/officeDocument/2006/relationships/hyperlink" Target="https://www.boxofficemojo.com/quarter/q3/2020/?ref_=bo_ql_table_6" TargetMode="External"/><Relationship Id="rId338" Type="http://schemas.openxmlformats.org/officeDocument/2006/relationships/hyperlink" Target="https://www.boxofficemojo.com/release/rl1248560641/?ref_=bo_ql_table_15" TargetMode="External"/><Relationship Id="rId216" Type="http://schemas.openxmlformats.org/officeDocument/2006/relationships/hyperlink" Target="https://www.boxofficemojo.com/release/rl3490022913/?ref_=bo_ql_table_5" TargetMode="External"/><Relationship Id="rId337" Type="http://schemas.openxmlformats.org/officeDocument/2006/relationships/hyperlink" Target="https://www.boxofficemojo.com/quarter/q4/2010/?ref_=bo_ql_table_15" TargetMode="External"/><Relationship Id="rId215" Type="http://schemas.openxmlformats.org/officeDocument/2006/relationships/hyperlink" Target="https://www.boxofficemojo.com/quarter/q3/2021/?ref_=bo_ql_table_5" TargetMode="External"/><Relationship Id="rId336" Type="http://schemas.openxmlformats.org/officeDocument/2006/relationships/hyperlink" Target="https://www.boxofficemojo.com/release/rl3292956161/?ref_=bo_ql_table_14" TargetMode="External"/><Relationship Id="rId214" Type="http://schemas.openxmlformats.org/officeDocument/2006/relationships/hyperlink" Target="https://www.boxofficemojo.com/release/rl1736214017/?ref_=bo_ql_table_4" TargetMode="External"/><Relationship Id="rId335" Type="http://schemas.openxmlformats.org/officeDocument/2006/relationships/hyperlink" Target="https://www.boxofficemojo.com/quarter/q4/2011/?ref_=bo_ql_table_14" TargetMode="External"/><Relationship Id="rId219" Type="http://schemas.openxmlformats.org/officeDocument/2006/relationships/hyperlink" Target="https://www.boxofficemojo.com/quarter/q3/2019/?ref_=bo_ql_table_7" TargetMode="External"/><Relationship Id="rId218" Type="http://schemas.openxmlformats.org/officeDocument/2006/relationships/hyperlink" Target="https://www.boxofficemojo.com/release/rl1442940417/?ref_=bo_ql_table_6" TargetMode="External"/><Relationship Id="rId339" Type="http://schemas.openxmlformats.org/officeDocument/2006/relationships/hyperlink" Target="https://www.boxofficemojo.com/quarter/q4/2009/?ref_=bo_ql_table_16" TargetMode="External"/><Relationship Id="rId330" Type="http://schemas.openxmlformats.org/officeDocument/2006/relationships/hyperlink" Target="https://www.boxofficemojo.com/release/rl4283991553/?ref_=bo_ql_table_11" TargetMode="External"/><Relationship Id="rId213" Type="http://schemas.openxmlformats.org/officeDocument/2006/relationships/hyperlink" Target="https://www.boxofficemojo.com/quarter/q3/2022/?ref_=bo_ql_table_4" TargetMode="External"/><Relationship Id="rId334" Type="http://schemas.openxmlformats.org/officeDocument/2006/relationships/hyperlink" Target="https://www.boxofficemojo.com/release/rl1346799105/?ref_=bo_ql_table_13" TargetMode="External"/><Relationship Id="rId212" Type="http://schemas.openxmlformats.org/officeDocument/2006/relationships/hyperlink" Target="https://www.boxofficemojo.com/release/rl1077904129/?ref_=bo_ql_table_3" TargetMode="External"/><Relationship Id="rId333" Type="http://schemas.openxmlformats.org/officeDocument/2006/relationships/hyperlink" Target="https://www.boxofficemojo.com/quarter/q4/2012/?ref_=bo_ql_table_13" TargetMode="External"/><Relationship Id="rId211" Type="http://schemas.openxmlformats.org/officeDocument/2006/relationships/hyperlink" Target="https://www.boxofficemojo.com/quarter/q3/2023/?ref_=bo_ql_table_3" TargetMode="External"/><Relationship Id="rId332" Type="http://schemas.openxmlformats.org/officeDocument/2006/relationships/hyperlink" Target="https://www.boxofficemojo.com/release/rl2638775809/?ref_=bo_ql_table_12" TargetMode="External"/><Relationship Id="rId210" Type="http://schemas.openxmlformats.org/officeDocument/2006/relationships/hyperlink" Target="https://www.boxofficemojo.com/release/rl4108092161/?ref_=bo_ql_table_2" TargetMode="External"/><Relationship Id="rId331" Type="http://schemas.openxmlformats.org/officeDocument/2006/relationships/hyperlink" Target="https://www.boxofficemojo.com/quarter/q4/2013/?ref_=bo_ql_table_12" TargetMode="External"/><Relationship Id="rId370" Type="http://schemas.openxmlformats.org/officeDocument/2006/relationships/hyperlink" Target="https://www.boxofficemojo.com/release/rl1131382273/?ref_=bo_ql_table_31" TargetMode="External"/><Relationship Id="rId129" Type="http://schemas.openxmlformats.org/officeDocument/2006/relationships/hyperlink" Target="https://www.boxofficemojo.com/quarter/q2/2013/?ref_=bo_ql_table_13" TargetMode="External"/><Relationship Id="rId128" Type="http://schemas.openxmlformats.org/officeDocument/2006/relationships/hyperlink" Target="https://www.boxofficemojo.com/release/rl3194193409/?ref_=bo_ql_table_12" TargetMode="External"/><Relationship Id="rId249" Type="http://schemas.openxmlformats.org/officeDocument/2006/relationships/hyperlink" Target="https://www.boxofficemojo.com/quarter/q3/2004/?ref_=bo_ql_table_22" TargetMode="External"/><Relationship Id="rId127" Type="http://schemas.openxmlformats.org/officeDocument/2006/relationships/hyperlink" Target="https://www.boxofficemojo.com/quarter/q2/2014/?ref_=bo_ql_table_12" TargetMode="External"/><Relationship Id="rId248" Type="http://schemas.openxmlformats.org/officeDocument/2006/relationships/hyperlink" Target="https://www.boxofficemojo.com/release/rl1282967041/?ref_=bo_ql_table_21" TargetMode="External"/><Relationship Id="rId369" Type="http://schemas.openxmlformats.org/officeDocument/2006/relationships/hyperlink" Target="https://www.boxofficemojo.com/quarter/q4/1994/?ref_=bo_ql_table_31" TargetMode="External"/><Relationship Id="rId126" Type="http://schemas.openxmlformats.org/officeDocument/2006/relationships/hyperlink" Target="https://www.boxofficemojo.com/release/rl2371716609/?ref_=bo_ql_table_11" TargetMode="External"/><Relationship Id="rId247" Type="http://schemas.openxmlformats.org/officeDocument/2006/relationships/hyperlink" Target="https://www.boxofficemojo.com/quarter/q3/2005/?ref_=bo_ql_table_21" TargetMode="External"/><Relationship Id="rId368" Type="http://schemas.openxmlformats.org/officeDocument/2006/relationships/hyperlink" Target="https://www.boxofficemojo.com/release/rl1400342017/?ref_=bo_ql_table_30" TargetMode="External"/><Relationship Id="rId121" Type="http://schemas.openxmlformats.org/officeDocument/2006/relationships/hyperlink" Target="https://www.boxofficemojo.com/quarter/q2/2017/?ref_=bo_ql_table_9" TargetMode="External"/><Relationship Id="rId242" Type="http://schemas.openxmlformats.org/officeDocument/2006/relationships/hyperlink" Target="https://www.boxofficemojo.com/release/rl3729098241/?ref_=bo_ql_table_18" TargetMode="External"/><Relationship Id="rId363" Type="http://schemas.openxmlformats.org/officeDocument/2006/relationships/hyperlink" Target="https://www.boxofficemojo.com/quarter/q4/1997/?ref_=bo_ql_table_28" TargetMode="External"/><Relationship Id="rId120" Type="http://schemas.openxmlformats.org/officeDocument/2006/relationships/hyperlink" Target="https://www.boxofficemojo.com/release/rl3043198465/?ref_=bo_ql_table_8" TargetMode="External"/><Relationship Id="rId241" Type="http://schemas.openxmlformats.org/officeDocument/2006/relationships/hyperlink" Target="https://www.boxofficemojo.com/quarter/q3/2008/?ref_=bo_ql_table_18" TargetMode="External"/><Relationship Id="rId362" Type="http://schemas.openxmlformats.org/officeDocument/2006/relationships/hyperlink" Target="https://www.boxofficemojo.com/release/rl2037941761/?ref_=bo_ql_table_27" TargetMode="External"/><Relationship Id="rId240" Type="http://schemas.openxmlformats.org/officeDocument/2006/relationships/hyperlink" Target="https://www.boxofficemojo.com/release/rl1231783425/?ref_=bo_ql_table_17" TargetMode="External"/><Relationship Id="rId361" Type="http://schemas.openxmlformats.org/officeDocument/2006/relationships/hyperlink" Target="https://www.boxofficemojo.com/quarter/q4/1998/?ref_=bo_ql_table_27" TargetMode="External"/><Relationship Id="rId360" Type="http://schemas.openxmlformats.org/officeDocument/2006/relationships/hyperlink" Target="https://www.boxofficemojo.com/release/rl1417119233/?ref_=bo_ql_table_26" TargetMode="External"/><Relationship Id="rId125" Type="http://schemas.openxmlformats.org/officeDocument/2006/relationships/hyperlink" Target="https://www.boxofficemojo.com/quarter/q2/2015/?ref_=bo_ql_table_11" TargetMode="External"/><Relationship Id="rId246" Type="http://schemas.openxmlformats.org/officeDocument/2006/relationships/hyperlink" Target="https://www.boxofficemojo.com/release/rl4083713537/?ref_=bo_ql_table_20" TargetMode="External"/><Relationship Id="rId367" Type="http://schemas.openxmlformats.org/officeDocument/2006/relationships/hyperlink" Target="https://www.boxofficemojo.com/quarter/q4/1995/?ref_=bo_ql_table_30" TargetMode="External"/><Relationship Id="rId124" Type="http://schemas.openxmlformats.org/officeDocument/2006/relationships/hyperlink" Target="https://www.boxofficemojo.com/release/rl3210970625/?ref_=bo_ql_table_10" TargetMode="External"/><Relationship Id="rId245" Type="http://schemas.openxmlformats.org/officeDocument/2006/relationships/hyperlink" Target="https://www.boxofficemojo.com/quarter/q3/2006/?ref_=bo_ql_table_20" TargetMode="External"/><Relationship Id="rId366" Type="http://schemas.openxmlformats.org/officeDocument/2006/relationships/hyperlink" Target="https://www.boxofficemojo.com/release/rl3261761025/?ref_=bo_ql_table_29" TargetMode="External"/><Relationship Id="rId123" Type="http://schemas.openxmlformats.org/officeDocument/2006/relationships/hyperlink" Target="https://www.boxofficemojo.com/quarter/q2/2016/?ref_=bo_ql_table_10" TargetMode="External"/><Relationship Id="rId244" Type="http://schemas.openxmlformats.org/officeDocument/2006/relationships/hyperlink" Target="https://www.boxofficemojo.com/release/rl3010954753/?ref_=bo_ql_table_19" TargetMode="External"/><Relationship Id="rId365" Type="http://schemas.openxmlformats.org/officeDocument/2006/relationships/hyperlink" Target="https://www.boxofficemojo.com/quarter/q4/1996/?ref_=bo_ql_table_29" TargetMode="External"/><Relationship Id="rId122" Type="http://schemas.openxmlformats.org/officeDocument/2006/relationships/hyperlink" Target="https://www.boxofficemojo.com/release/rl2976089601/?ref_=bo_ql_table_9" TargetMode="External"/><Relationship Id="rId243" Type="http://schemas.openxmlformats.org/officeDocument/2006/relationships/hyperlink" Target="https://www.boxofficemojo.com/quarter/q3/2007/?ref_=bo_ql_table_19" TargetMode="External"/><Relationship Id="rId364" Type="http://schemas.openxmlformats.org/officeDocument/2006/relationships/hyperlink" Target="https://www.boxofficemojo.com/release/rl3698624001/?ref_=bo_ql_table_28" TargetMode="External"/><Relationship Id="rId95" Type="http://schemas.openxmlformats.org/officeDocument/2006/relationships/hyperlink" Target="https://www.boxofficemojo.com/quarter/q1/1981/?ref_=bo_ql_table_45" TargetMode="External"/><Relationship Id="rId94" Type="http://schemas.openxmlformats.org/officeDocument/2006/relationships/hyperlink" Target="https://www.boxofficemojo.com/release/rl4083844609/?ref_=bo_ql_table_44" TargetMode="External"/><Relationship Id="rId97" Type="http://schemas.openxmlformats.org/officeDocument/2006/relationships/hyperlink" Target="https://www.boxofficemojo.com/quarter/q1/1980/?ref_=bo_ql_table_46" TargetMode="External"/><Relationship Id="rId96" Type="http://schemas.openxmlformats.org/officeDocument/2006/relationships/hyperlink" Target="https://www.boxofficemojo.com/release/rl1600554497/?ref_=bo_ql_table_45" TargetMode="External"/><Relationship Id="rId99" Type="http://schemas.openxmlformats.org/officeDocument/2006/relationships/hyperlink" Target="https://www.boxofficemojo.com/quarter/q1/1979/?ref_=bo_ql_table_47" TargetMode="External"/><Relationship Id="rId98" Type="http://schemas.openxmlformats.org/officeDocument/2006/relationships/hyperlink" Target="https://www.boxofficemojo.com/release/rl3999041025/?ref_=bo_ql_table_46" TargetMode="External"/><Relationship Id="rId91" Type="http://schemas.openxmlformats.org/officeDocument/2006/relationships/hyperlink" Target="https://www.boxofficemojo.com/quarter/q1/1983/?ref_=bo_ql_table_43" TargetMode="External"/><Relationship Id="rId90" Type="http://schemas.openxmlformats.org/officeDocument/2006/relationships/hyperlink" Target="https://www.boxofficemojo.com/release/rl3245704705/?ref_=bo_ql_table_42" TargetMode="External"/><Relationship Id="rId93" Type="http://schemas.openxmlformats.org/officeDocument/2006/relationships/hyperlink" Target="https://www.boxofficemojo.com/quarter/q1/1982/?ref_=bo_ql_table_44" TargetMode="External"/><Relationship Id="rId92" Type="http://schemas.openxmlformats.org/officeDocument/2006/relationships/hyperlink" Target="https://www.boxofficemojo.com/release/rl645367297/?ref_=bo_ql_table_43" TargetMode="External"/><Relationship Id="rId118" Type="http://schemas.openxmlformats.org/officeDocument/2006/relationships/hyperlink" Target="https://www.boxofficemojo.com/release/rl3059975681/?ref_=bo_ql_table_7" TargetMode="External"/><Relationship Id="rId239" Type="http://schemas.openxmlformats.org/officeDocument/2006/relationships/hyperlink" Target="https://www.boxofficemojo.com/quarter/q3/2009/?ref_=bo_ql_table_17" TargetMode="External"/><Relationship Id="rId117" Type="http://schemas.openxmlformats.org/officeDocument/2006/relationships/hyperlink" Target="https://www.boxofficemojo.com/quarter/q2/2019/?ref_=bo_ql_table_7" TargetMode="External"/><Relationship Id="rId238" Type="http://schemas.openxmlformats.org/officeDocument/2006/relationships/hyperlink" Target="https://www.boxofficemojo.com/release/rl2908456449/?ref_=bo_ql_table_16" TargetMode="External"/><Relationship Id="rId359" Type="http://schemas.openxmlformats.org/officeDocument/2006/relationships/hyperlink" Target="https://www.boxofficemojo.com/quarter/q4/1999/?ref_=bo_ql_table_26" TargetMode="External"/><Relationship Id="rId116" Type="http://schemas.openxmlformats.org/officeDocument/2006/relationships/hyperlink" Target="https://www.boxofficemojo.com/release/rl716997121/?ref_=bo_ql_table_6" TargetMode="External"/><Relationship Id="rId237" Type="http://schemas.openxmlformats.org/officeDocument/2006/relationships/hyperlink" Target="https://www.boxofficemojo.com/quarter/q3/2010/?ref_=bo_ql_table_16" TargetMode="External"/><Relationship Id="rId358" Type="http://schemas.openxmlformats.org/officeDocument/2006/relationships/hyperlink" Target="https://www.boxofficemojo.com/release/rl3059189249/?ref_=bo_ql_table_25" TargetMode="External"/><Relationship Id="rId115" Type="http://schemas.openxmlformats.org/officeDocument/2006/relationships/hyperlink" Target="https://www.boxofficemojo.com/quarter/q2/2020/?ref_=bo_ql_table_6" TargetMode="External"/><Relationship Id="rId236" Type="http://schemas.openxmlformats.org/officeDocument/2006/relationships/hyperlink" Target="https://www.boxofficemojo.com/release/rl1265337857/?ref_=bo_ql_table_15" TargetMode="External"/><Relationship Id="rId357" Type="http://schemas.openxmlformats.org/officeDocument/2006/relationships/hyperlink" Target="https://www.boxofficemojo.com/quarter/q4/2000/?ref_=bo_ql_table_25" TargetMode="External"/><Relationship Id="rId119" Type="http://schemas.openxmlformats.org/officeDocument/2006/relationships/hyperlink" Target="https://www.boxofficemojo.com/quarter/q2/2018/?ref_=bo_ql_table_8" TargetMode="External"/><Relationship Id="rId110" Type="http://schemas.openxmlformats.org/officeDocument/2006/relationships/hyperlink" Target="https://www.boxofficemojo.com/release/rl1930593025/?ref_=bo_ql_table_3" TargetMode="External"/><Relationship Id="rId231" Type="http://schemas.openxmlformats.org/officeDocument/2006/relationships/hyperlink" Target="https://www.boxofficemojo.com/quarter/q3/2013/?ref_=bo_ql_table_13" TargetMode="External"/><Relationship Id="rId352" Type="http://schemas.openxmlformats.org/officeDocument/2006/relationships/hyperlink" Target="https://www.boxofficemojo.com/release/rl4251026945/?ref_=bo_ql_table_22" TargetMode="External"/><Relationship Id="rId230" Type="http://schemas.openxmlformats.org/officeDocument/2006/relationships/hyperlink" Target="https://www.boxofficemojo.com/release/rl3177416193/?ref_=bo_ql_table_12" TargetMode="External"/><Relationship Id="rId351" Type="http://schemas.openxmlformats.org/officeDocument/2006/relationships/hyperlink" Target="https://www.boxofficemojo.com/quarter/q4/2003/?ref_=bo_ql_table_22" TargetMode="External"/><Relationship Id="rId350" Type="http://schemas.openxmlformats.org/officeDocument/2006/relationships/hyperlink" Target="https://www.boxofficemojo.com/release/rl2807793153/?ref_=bo_ql_table_21" TargetMode="External"/><Relationship Id="rId114" Type="http://schemas.openxmlformats.org/officeDocument/2006/relationships/hyperlink" Target="https://www.boxofficemojo.com/release/rl2819065345/?ref_=bo_ql_table_5" TargetMode="External"/><Relationship Id="rId235" Type="http://schemas.openxmlformats.org/officeDocument/2006/relationships/hyperlink" Target="https://www.boxofficemojo.com/quarter/q3/2011/?ref_=bo_ql_table_15" TargetMode="External"/><Relationship Id="rId356" Type="http://schemas.openxmlformats.org/officeDocument/2006/relationships/hyperlink" Target="https://www.boxofficemojo.com/release/rl1416332801/?ref_=bo_ql_table_24" TargetMode="External"/><Relationship Id="rId113" Type="http://schemas.openxmlformats.org/officeDocument/2006/relationships/hyperlink" Target="https://www.boxofficemojo.com/quarter/q2/2021/?ref_=bo_ql_table_5" TargetMode="External"/><Relationship Id="rId234" Type="http://schemas.openxmlformats.org/officeDocument/2006/relationships/hyperlink" Target="https://www.boxofficemojo.com/release/rl3745875457/?ref_=bo_ql_table_14" TargetMode="External"/><Relationship Id="rId355" Type="http://schemas.openxmlformats.org/officeDocument/2006/relationships/hyperlink" Target="https://www.boxofficemojo.com/quarter/q4/2001/?ref_=bo_ql_table_24" TargetMode="External"/><Relationship Id="rId112" Type="http://schemas.openxmlformats.org/officeDocument/2006/relationships/hyperlink" Target="https://www.boxofficemojo.com/release/rl2500036097/?ref_=bo_ql_table_4" TargetMode="External"/><Relationship Id="rId233" Type="http://schemas.openxmlformats.org/officeDocument/2006/relationships/hyperlink" Target="https://www.boxofficemojo.com/quarter/q3/2012/?ref_=bo_ql_table_14" TargetMode="External"/><Relationship Id="rId354" Type="http://schemas.openxmlformats.org/officeDocument/2006/relationships/hyperlink" Target="https://www.boxofficemojo.com/release/rl1433110017/?ref_=bo_ql_table_23" TargetMode="External"/><Relationship Id="rId111" Type="http://schemas.openxmlformats.org/officeDocument/2006/relationships/hyperlink" Target="https://www.boxofficemojo.com/quarter/q2/2022/?ref_=bo_ql_table_4" TargetMode="External"/><Relationship Id="rId232" Type="http://schemas.openxmlformats.org/officeDocument/2006/relationships/hyperlink" Target="https://www.boxofficemojo.com/release/rl105874945/?ref_=bo_ql_table_13" TargetMode="External"/><Relationship Id="rId353" Type="http://schemas.openxmlformats.org/officeDocument/2006/relationships/hyperlink" Target="https://www.boxofficemojo.com/quarter/q4/2002/?ref_=bo_ql_table_23" TargetMode="External"/><Relationship Id="rId305" Type="http://schemas.openxmlformats.org/officeDocument/2006/relationships/hyperlink" Target="https://www.boxofficemojo.com/quarter/q3/1976/?ref_=bo_ql_table_50" TargetMode="External"/><Relationship Id="rId304" Type="http://schemas.openxmlformats.org/officeDocument/2006/relationships/hyperlink" Target="https://www.boxofficemojo.com/release/rl2759034369/?ref_=bo_ql_table_49" TargetMode="External"/><Relationship Id="rId303" Type="http://schemas.openxmlformats.org/officeDocument/2006/relationships/hyperlink" Target="https://www.boxofficemojo.com/quarter/q3/1977/?ref_=bo_ql_table_49" TargetMode="External"/><Relationship Id="rId302" Type="http://schemas.openxmlformats.org/officeDocument/2006/relationships/hyperlink" Target="https://www.boxofficemojo.com/release/rl994215425/?ref_=bo_ql_table_48" TargetMode="External"/><Relationship Id="rId309" Type="http://schemas.openxmlformats.org/officeDocument/2006/relationships/hyperlink" Target="https://www.boxofficemojo.com/quarter/q4/2024/?ref_=bo_ql_table_1" TargetMode="External"/><Relationship Id="rId308" Type="http://schemas.openxmlformats.org/officeDocument/2006/relationships/hyperlink" Target="https://www.boxofficemojo.com/release/rl3545925121/?ref_=bo_ql_table_51" TargetMode="External"/><Relationship Id="rId307" Type="http://schemas.openxmlformats.org/officeDocument/2006/relationships/hyperlink" Target="https://www.boxofficemojo.com/quarter/q3/1975/?ref_=bo_ql_table_51" TargetMode="External"/><Relationship Id="rId306" Type="http://schemas.openxmlformats.org/officeDocument/2006/relationships/hyperlink" Target="https://www.boxofficemojo.com/release/rl1567000065/?ref_=bo_ql_table_50" TargetMode="External"/><Relationship Id="rId301" Type="http://schemas.openxmlformats.org/officeDocument/2006/relationships/hyperlink" Target="https://www.boxofficemojo.com/quarter/q3/1978/?ref_=bo_ql_table_48" TargetMode="External"/><Relationship Id="rId300" Type="http://schemas.openxmlformats.org/officeDocument/2006/relationships/hyperlink" Target="https://www.boxofficemojo.com/release/rl2202240513/?ref_=bo_ql_table_47" TargetMode="External"/><Relationship Id="rId411" Type="http://schemas.openxmlformats.org/officeDocument/2006/relationships/drawing" Target="../drawings/drawing4.xml"/><Relationship Id="rId410" Type="http://schemas.openxmlformats.org/officeDocument/2006/relationships/hyperlink" Target="https://www.boxofficemojo.com/release/rl1684768257/?ref_=bo_ql_table_51" TargetMode="External"/><Relationship Id="rId206" Type="http://schemas.openxmlformats.org/officeDocument/2006/relationships/hyperlink" Target="https://www.boxofficemojo.com/release/rl3545925121/?ref_=bo_ql_table_51" TargetMode="External"/><Relationship Id="rId327" Type="http://schemas.openxmlformats.org/officeDocument/2006/relationships/hyperlink" Target="https://www.boxofficemojo.com/quarter/q4/2015/?ref_=bo_ql_table_10" TargetMode="External"/><Relationship Id="rId205" Type="http://schemas.openxmlformats.org/officeDocument/2006/relationships/hyperlink" Target="https://www.boxofficemojo.com/quarter/q2/1975/?ref_=bo_ql_table_51" TargetMode="External"/><Relationship Id="rId326" Type="http://schemas.openxmlformats.org/officeDocument/2006/relationships/hyperlink" Target="https://www.boxofficemojo.com/release/rl2557707777/?ref_=bo_ql_table_9" TargetMode="External"/><Relationship Id="rId204" Type="http://schemas.openxmlformats.org/officeDocument/2006/relationships/hyperlink" Target="https://www.boxofficemojo.com/release/rl1567000065/?ref_=bo_ql_table_50" TargetMode="External"/><Relationship Id="rId325" Type="http://schemas.openxmlformats.org/officeDocument/2006/relationships/hyperlink" Target="https://www.boxofficemojo.com/quarter/q4/2016/?ref_=bo_ql_table_9" TargetMode="External"/><Relationship Id="rId203" Type="http://schemas.openxmlformats.org/officeDocument/2006/relationships/hyperlink" Target="https://www.boxofficemojo.com/quarter/q2/1976/?ref_=bo_ql_table_50" TargetMode="External"/><Relationship Id="rId324" Type="http://schemas.openxmlformats.org/officeDocument/2006/relationships/hyperlink" Target="https://www.boxofficemojo.com/release/rl2708702721/?ref_=bo_ql_table_8" TargetMode="External"/><Relationship Id="rId209" Type="http://schemas.openxmlformats.org/officeDocument/2006/relationships/hyperlink" Target="https://www.boxofficemojo.com/quarter/q3/2024/?ref_=bo_ql_table_2" TargetMode="External"/><Relationship Id="rId208" Type="http://schemas.openxmlformats.org/officeDocument/2006/relationships/hyperlink" Target="https://www.boxofficemojo.com/release/rl1543340801/?ref_=bo_ql_table_1" TargetMode="External"/><Relationship Id="rId329" Type="http://schemas.openxmlformats.org/officeDocument/2006/relationships/hyperlink" Target="https://www.boxofficemojo.com/quarter/q4/2014/?ref_=bo_ql_table_11" TargetMode="External"/><Relationship Id="rId207" Type="http://schemas.openxmlformats.org/officeDocument/2006/relationships/hyperlink" Target="https://www.boxofficemojo.com/quarter/q3/2025/?ref_=bo_ql_table_1" TargetMode="External"/><Relationship Id="rId328" Type="http://schemas.openxmlformats.org/officeDocument/2006/relationships/hyperlink" Target="https://www.boxofficemojo.com/release/rl2691925505/?ref_=bo_ql_table_10" TargetMode="External"/><Relationship Id="rId202" Type="http://schemas.openxmlformats.org/officeDocument/2006/relationships/hyperlink" Target="https://www.boxofficemojo.com/release/rl3561784833/?ref_=bo_ql_table_49" TargetMode="External"/><Relationship Id="rId323" Type="http://schemas.openxmlformats.org/officeDocument/2006/relationships/hyperlink" Target="https://www.boxofficemojo.com/quarter/q4/2017/?ref_=bo_ql_table_8" TargetMode="External"/><Relationship Id="rId201" Type="http://schemas.openxmlformats.org/officeDocument/2006/relationships/hyperlink" Target="https://www.boxofficemojo.com/quarter/q2/1977/?ref_=bo_ql_table_49" TargetMode="External"/><Relationship Id="rId322" Type="http://schemas.openxmlformats.org/officeDocument/2006/relationships/hyperlink" Target="https://www.boxofficemojo.com/release/rl3075966465/?ref_=bo_ql_table_7" TargetMode="External"/><Relationship Id="rId200" Type="http://schemas.openxmlformats.org/officeDocument/2006/relationships/hyperlink" Target="https://www.boxofficemojo.com/release/rl2052556289/?ref_=bo_ql_table_48" TargetMode="External"/><Relationship Id="rId321" Type="http://schemas.openxmlformats.org/officeDocument/2006/relationships/hyperlink" Target="https://www.boxofficemojo.com/quarter/q4/2018/?ref_=bo_ql_table_7" TargetMode="External"/><Relationship Id="rId320" Type="http://schemas.openxmlformats.org/officeDocument/2006/relationships/hyperlink" Target="https://www.boxofficemojo.com/release/rl2424210945/?ref_=bo_ql_table_6" TargetMode="External"/><Relationship Id="rId316" Type="http://schemas.openxmlformats.org/officeDocument/2006/relationships/hyperlink" Target="https://www.boxofficemojo.com/release/rl2869659137/?ref_=bo_ql_table_4" TargetMode="External"/><Relationship Id="rId315" Type="http://schemas.openxmlformats.org/officeDocument/2006/relationships/hyperlink" Target="https://www.boxofficemojo.com/quarter/q4/2021/?ref_=bo_ql_table_4" TargetMode="External"/><Relationship Id="rId314" Type="http://schemas.openxmlformats.org/officeDocument/2006/relationships/hyperlink" Target="https://www.boxofficemojo.com/release/rl3573908993/?ref_=bo_ql_table_3" TargetMode="External"/><Relationship Id="rId313" Type="http://schemas.openxmlformats.org/officeDocument/2006/relationships/hyperlink" Target="https://www.boxofficemojo.com/quarter/q4/2022/?ref_=bo_ql_table_3" TargetMode="External"/><Relationship Id="rId319" Type="http://schemas.openxmlformats.org/officeDocument/2006/relationships/hyperlink" Target="https://www.boxofficemojo.com/quarter/q4/2019/?ref_=bo_ql_table_6" TargetMode="External"/><Relationship Id="rId318" Type="http://schemas.openxmlformats.org/officeDocument/2006/relationships/hyperlink" Target="https://www.boxofficemojo.com/release/rl3209528833/?ref_=bo_ql_table_5" TargetMode="External"/><Relationship Id="rId317" Type="http://schemas.openxmlformats.org/officeDocument/2006/relationships/hyperlink" Target="https://www.boxofficemojo.com/quarter/q4/2020/?ref_=bo_ql_table_5" TargetMode="External"/><Relationship Id="rId312" Type="http://schemas.openxmlformats.org/officeDocument/2006/relationships/hyperlink" Target="https://www.boxofficemojo.com/release/rl4054352641/?ref_=bo_ql_table_2" TargetMode="External"/><Relationship Id="rId311" Type="http://schemas.openxmlformats.org/officeDocument/2006/relationships/hyperlink" Target="https://www.boxofficemojo.com/quarter/q4/2023/?ref_=bo_ql_table_2" TargetMode="External"/><Relationship Id="rId310" Type="http://schemas.openxmlformats.org/officeDocument/2006/relationships/hyperlink" Target="https://www.boxofficemojo.com/release/rl1199474177/?ref_=bo_ql_table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0"/>
    <col customWidth="1" min="3" max="4" width="10.56"/>
    <col customWidth="1" min="5" max="5" width="26.78"/>
    <col customWidth="1" min="6" max="6" width="42.0"/>
    <col customWidth="1" min="7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1" t="s">
        <v>6</v>
      </c>
    </row>
    <row r="2" ht="15.75" customHeight="1">
      <c r="A2" s="2">
        <v>2025.0</v>
      </c>
      <c r="B2" s="4">
        <v>5.190781672E9</v>
      </c>
      <c r="C2" s="5" t="s">
        <v>7</v>
      </c>
      <c r="D2" s="5">
        <v>394.0</v>
      </c>
      <c r="E2" s="4">
        <v>1.3174572E7</v>
      </c>
      <c r="F2" s="2" t="s">
        <v>8</v>
      </c>
    </row>
    <row r="3" ht="15.75" customHeight="1">
      <c r="A3" s="2">
        <v>2024.0</v>
      </c>
      <c r="B3" s="4">
        <v>8.570012657E9</v>
      </c>
      <c r="C3" s="6">
        <v>-0.038</v>
      </c>
      <c r="D3" s="5">
        <v>675.0</v>
      </c>
      <c r="E3" s="4">
        <v>1.2696315E7</v>
      </c>
      <c r="F3" s="2" t="s">
        <v>9</v>
      </c>
    </row>
    <row r="4" ht="15.75" customHeight="1">
      <c r="A4" s="2">
        <v>2023.0</v>
      </c>
      <c r="B4" s="4">
        <v>8.907111984E9</v>
      </c>
      <c r="C4" s="7">
        <v>0.209</v>
      </c>
      <c r="D4" s="5">
        <v>592.0</v>
      </c>
      <c r="E4" s="4">
        <v>1.5045797E7</v>
      </c>
      <c r="F4" s="2" t="s">
        <v>10</v>
      </c>
    </row>
    <row r="5" ht="15.75" customHeight="1">
      <c r="A5" s="2">
        <v>2022.0</v>
      </c>
      <c r="B5" s="4">
        <v>7.369914732E9</v>
      </c>
      <c r="C5" s="7">
        <v>0.644</v>
      </c>
      <c r="D5" s="5">
        <v>502.0</v>
      </c>
      <c r="E5" s="4">
        <v>1.4681105E7</v>
      </c>
      <c r="F5" s="2" t="s">
        <v>11</v>
      </c>
    </row>
    <row r="6" ht="15.75" customHeight="1">
      <c r="A6" s="2">
        <v>2021.0</v>
      </c>
      <c r="B6" s="4">
        <v>4.483016589E9</v>
      </c>
      <c r="C6" s="7">
        <v>1.121</v>
      </c>
      <c r="D6" s="5">
        <v>442.0</v>
      </c>
      <c r="E6" s="4">
        <v>1.0142571E7</v>
      </c>
      <c r="F6" s="2" t="s">
        <v>12</v>
      </c>
    </row>
    <row r="7" ht="15.75" customHeight="1">
      <c r="A7" s="2">
        <v>2020.0</v>
      </c>
      <c r="B7" s="4">
        <v>2.1133868E9</v>
      </c>
      <c r="C7" s="6">
        <v>-0.814</v>
      </c>
      <c r="D7" s="5">
        <v>455.0</v>
      </c>
      <c r="E7" s="4">
        <v>4644806.0</v>
      </c>
      <c r="F7" s="2" t="s">
        <v>13</v>
      </c>
    </row>
    <row r="8" ht="15.75" customHeight="1">
      <c r="A8" s="2">
        <v>2019.0</v>
      </c>
      <c r="B8" s="4">
        <v>1.1363364803E10</v>
      </c>
      <c r="C8" s="6">
        <v>-0.044</v>
      </c>
      <c r="D8" s="5">
        <v>910.0</v>
      </c>
      <c r="E8" s="4">
        <v>1.2487214E7</v>
      </c>
      <c r="F8" s="2" t="s">
        <v>14</v>
      </c>
    </row>
    <row r="9" ht="15.75" customHeight="1">
      <c r="A9" s="2">
        <v>2018.0</v>
      </c>
      <c r="B9" s="4">
        <v>1.1892160011E10</v>
      </c>
      <c r="C9" s="7">
        <v>0.074</v>
      </c>
      <c r="D9" s="5">
        <v>993.0</v>
      </c>
      <c r="E9" s="4">
        <v>1.1975991E7</v>
      </c>
      <c r="F9" s="2" t="s">
        <v>15</v>
      </c>
    </row>
    <row r="10" ht="15.75" customHeight="1">
      <c r="A10" s="2">
        <v>2017.0</v>
      </c>
      <c r="B10" s="4">
        <v>1.107538752E10</v>
      </c>
      <c r="C10" s="6">
        <v>-0.026</v>
      </c>
      <c r="D10" s="5">
        <v>854.0</v>
      </c>
      <c r="E10" s="4">
        <v>1.2968837E7</v>
      </c>
      <c r="F10" s="2" t="s">
        <v>16</v>
      </c>
    </row>
    <row r="11" ht="15.75" customHeight="1">
      <c r="A11" s="2">
        <v>2016.0</v>
      </c>
      <c r="B11" s="4">
        <v>1.1375225455E10</v>
      </c>
      <c r="C11" s="8">
        <v>0.02</v>
      </c>
      <c r="D11" s="5">
        <v>855.0</v>
      </c>
      <c r="E11" s="4">
        <v>1.3304357E7</v>
      </c>
      <c r="F11" s="2" t="s">
        <v>17</v>
      </c>
    </row>
    <row r="12" ht="15.75" customHeight="1">
      <c r="A12" s="2">
        <v>2015.0</v>
      </c>
      <c r="B12" s="4">
        <v>1.1148780747E10</v>
      </c>
      <c r="C12" s="7">
        <v>0.075</v>
      </c>
      <c r="D12" s="5">
        <v>845.0</v>
      </c>
      <c r="E12" s="4">
        <v>1.3193823E7</v>
      </c>
      <c r="F12" s="2" t="s">
        <v>18</v>
      </c>
    </row>
    <row r="13" ht="15.75" customHeight="1">
      <c r="A13" s="2">
        <v>2014.0</v>
      </c>
      <c r="B13" s="4">
        <v>1.0368861849E10</v>
      </c>
      <c r="C13" s="6">
        <v>-0.054</v>
      </c>
      <c r="D13" s="5">
        <v>849.0</v>
      </c>
      <c r="E13" s="4">
        <v>1.2213029E7</v>
      </c>
      <c r="F13" s="2" t="s">
        <v>19</v>
      </c>
    </row>
    <row r="14" ht="15.75" customHeight="1">
      <c r="A14" s="2">
        <v>2013.0</v>
      </c>
      <c r="B14" s="4">
        <v>1.09555248E10</v>
      </c>
      <c r="C14" s="8">
        <v>0.01</v>
      </c>
      <c r="D14" s="5">
        <v>826.0</v>
      </c>
      <c r="E14" s="4">
        <v>1.3263347E7</v>
      </c>
      <c r="F14" s="2" t="s">
        <v>20</v>
      </c>
    </row>
    <row r="15" ht="15.75" customHeight="1">
      <c r="A15" s="2">
        <v>2012.0</v>
      </c>
      <c r="B15" s="4">
        <v>1.0843641372E10</v>
      </c>
      <c r="C15" s="7">
        <v>0.068</v>
      </c>
      <c r="D15" s="5">
        <v>807.0</v>
      </c>
      <c r="E15" s="4">
        <v>1.3436978E7</v>
      </c>
      <c r="F15" s="2" t="s">
        <v>21</v>
      </c>
    </row>
    <row r="16" ht="15.75" customHeight="1">
      <c r="A16" s="2">
        <v>2011.0</v>
      </c>
      <c r="B16" s="4">
        <v>1.0155695359E10</v>
      </c>
      <c r="C16" s="6">
        <v>-0.041</v>
      </c>
      <c r="D16" s="5">
        <v>731.0</v>
      </c>
      <c r="E16" s="4">
        <v>1.389288E7</v>
      </c>
      <c r="F16" s="2" t="s">
        <v>22</v>
      </c>
    </row>
    <row r="17" ht="15.75" customHeight="1">
      <c r="A17" s="2">
        <v>2010.0</v>
      </c>
      <c r="B17" s="4">
        <v>1.0585388159E10</v>
      </c>
      <c r="C17" s="6">
        <v>-0.003</v>
      </c>
      <c r="D17" s="5">
        <v>651.0</v>
      </c>
      <c r="E17" s="4">
        <v>1.6260196E7</v>
      </c>
      <c r="F17" s="2" t="s">
        <v>23</v>
      </c>
    </row>
    <row r="18" ht="15.75" customHeight="1">
      <c r="A18" s="2">
        <v>2009.0</v>
      </c>
      <c r="B18" s="4">
        <v>1.0615886283E10</v>
      </c>
      <c r="C18" s="8">
        <v>0.1</v>
      </c>
      <c r="D18" s="5">
        <v>646.0</v>
      </c>
      <c r="E18" s="4">
        <v>1.643326E7</v>
      </c>
      <c r="F18" s="2" t="s">
        <v>24</v>
      </c>
    </row>
    <row r="19" ht="15.75" customHeight="1">
      <c r="A19" s="2">
        <v>2008.0</v>
      </c>
      <c r="B19" s="4">
        <v>9.652648585E9</v>
      </c>
      <c r="C19" s="6">
        <v>-0.003</v>
      </c>
      <c r="D19" s="5">
        <v>725.0</v>
      </c>
      <c r="E19" s="4">
        <v>1.3313998E7</v>
      </c>
      <c r="F19" s="2" t="s">
        <v>25</v>
      </c>
    </row>
    <row r="20" ht="15.75" customHeight="1">
      <c r="A20" s="2">
        <v>2007.0</v>
      </c>
      <c r="B20" s="4">
        <v>9.679019852E9</v>
      </c>
      <c r="C20" s="7">
        <v>0.052</v>
      </c>
      <c r="D20" s="5">
        <v>775.0</v>
      </c>
      <c r="E20" s="4">
        <v>1.2489057E7</v>
      </c>
      <c r="F20" s="2" t="s">
        <v>26</v>
      </c>
    </row>
    <row r="21" ht="15.75" customHeight="1">
      <c r="A21" s="2">
        <v>2006.0</v>
      </c>
      <c r="B21" s="4">
        <v>9.203041941E9</v>
      </c>
      <c r="C21" s="7">
        <v>0.042</v>
      </c>
      <c r="D21" s="5">
        <v>746.0</v>
      </c>
      <c r="E21" s="4">
        <v>1.2336517E7</v>
      </c>
      <c r="F21" s="2" t="s">
        <v>27</v>
      </c>
    </row>
    <row r="22" ht="15.75" customHeight="1">
      <c r="A22" s="2">
        <v>2005.0</v>
      </c>
      <c r="B22" s="4">
        <v>8.833618311E9</v>
      </c>
      <c r="C22" s="6">
        <v>-0.056</v>
      </c>
      <c r="D22" s="5">
        <v>676.0</v>
      </c>
      <c r="E22" s="4">
        <v>1.3067482E7</v>
      </c>
      <c r="F22" s="2" t="s">
        <v>28</v>
      </c>
    </row>
    <row r="23" ht="15.75" customHeight="1">
      <c r="A23" s="2">
        <v>2004.0</v>
      </c>
      <c r="B23" s="4">
        <v>9.354636012E9</v>
      </c>
      <c r="C23" s="7">
        <v>0.013</v>
      </c>
      <c r="D23" s="5">
        <v>700.0</v>
      </c>
      <c r="E23" s="4">
        <v>1.3363765E7</v>
      </c>
      <c r="F23" s="2" t="s">
        <v>29</v>
      </c>
    </row>
    <row r="24" ht="15.75" customHeight="1">
      <c r="A24" s="2">
        <v>2003.0</v>
      </c>
      <c r="B24" s="4">
        <v>9.232953228E9</v>
      </c>
      <c r="C24" s="7">
        <v>0.007</v>
      </c>
      <c r="D24" s="5">
        <v>667.0</v>
      </c>
      <c r="E24" s="4">
        <v>1.3842508E7</v>
      </c>
      <c r="F24" s="2" t="s">
        <v>30</v>
      </c>
    </row>
    <row r="25" ht="15.75" customHeight="1">
      <c r="A25" s="2">
        <v>2002.0</v>
      </c>
      <c r="B25" s="4">
        <v>9.164913438E9</v>
      </c>
      <c r="C25" s="7">
        <v>0.152</v>
      </c>
      <c r="D25" s="5">
        <v>570.0</v>
      </c>
      <c r="E25" s="4">
        <v>1.6078795E7</v>
      </c>
      <c r="F25" s="2" t="s">
        <v>31</v>
      </c>
    </row>
    <row r="26" ht="15.75" customHeight="1">
      <c r="A26" s="2">
        <v>2001.0</v>
      </c>
      <c r="B26" s="4">
        <v>7.959296828E9</v>
      </c>
      <c r="C26" s="7">
        <v>0.065</v>
      </c>
      <c r="D26" s="5">
        <v>412.0</v>
      </c>
      <c r="E26" s="4">
        <v>1.9318681E7</v>
      </c>
      <c r="F26" s="2" t="s">
        <v>32</v>
      </c>
    </row>
    <row r="27" ht="15.75" customHeight="1">
      <c r="A27" s="2">
        <v>2000.0</v>
      </c>
      <c r="B27" s="4">
        <v>7.476224972E9</v>
      </c>
      <c r="C27" s="7">
        <v>0.018</v>
      </c>
      <c r="D27" s="5">
        <v>439.0</v>
      </c>
      <c r="E27" s="4">
        <v>1.7030125E7</v>
      </c>
      <c r="F27" s="2" t="s">
        <v>33</v>
      </c>
    </row>
    <row r="28" ht="15.75" customHeight="1">
      <c r="A28" s="2">
        <v>1999.0</v>
      </c>
      <c r="B28" s="4">
        <v>7.340708198E9</v>
      </c>
      <c r="C28" s="7">
        <v>0.096</v>
      </c>
      <c r="D28" s="5">
        <v>448.0</v>
      </c>
      <c r="E28" s="4">
        <v>1.6385509E7</v>
      </c>
      <c r="F28" s="2" t="s">
        <v>34</v>
      </c>
    </row>
    <row r="29" ht="15.75" customHeight="1">
      <c r="A29" s="2">
        <v>1998.0</v>
      </c>
      <c r="B29" s="4">
        <v>6.696278852E9</v>
      </c>
      <c r="C29" s="7">
        <v>0.102</v>
      </c>
      <c r="D29" s="5">
        <v>334.0</v>
      </c>
      <c r="E29" s="4">
        <v>2.0048739E7</v>
      </c>
      <c r="F29" s="2" t="s">
        <v>35</v>
      </c>
    </row>
    <row r="30" ht="15.75" customHeight="1">
      <c r="A30" s="2">
        <v>1997.0</v>
      </c>
      <c r="B30" s="4">
        <v>6.077250085E9</v>
      </c>
      <c r="C30" s="7">
        <v>0.085</v>
      </c>
      <c r="D30" s="5">
        <v>310.0</v>
      </c>
      <c r="E30" s="4">
        <v>1.9604032E7</v>
      </c>
      <c r="F30" s="2" t="s">
        <v>36</v>
      </c>
    </row>
    <row r="31" ht="15.75" customHeight="1">
      <c r="A31" s="2">
        <v>1996.0</v>
      </c>
      <c r="B31" s="4">
        <v>5.600750973E9</v>
      </c>
      <c r="C31" s="7">
        <v>0.097</v>
      </c>
      <c r="D31" s="5">
        <v>306.0</v>
      </c>
      <c r="E31" s="4">
        <v>1.8303107E7</v>
      </c>
      <c r="F31" s="2" t="s">
        <v>37</v>
      </c>
    </row>
    <row r="32" ht="15.75" customHeight="1">
      <c r="A32" s="2">
        <v>1995.0</v>
      </c>
      <c r="B32" s="4">
        <v>5.106129264E9</v>
      </c>
      <c r="C32" s="7">
        <v>0.009</v>
      </c>
      <c r="D32" s="5">
        <v>291.0</v>
      </c>
      <c r="E32" s="4">
        <v>1.7546835E7</v>
      </c>
      <c r="F32" s="2" t="s">
        <v>38</v>
      </c>
    </row>
    <row r="33" ht="15.75" customHeight="1">
      <c r="A33" s="2">
        <v>1994.0</v>
      </c>
      <c r="B33" s="4">
        <v>5.061909583E9</v>
      </c>
      <c r="C33" s="8">
        <v>0.05</v>
      </c>
      <c r="D33" s="5">
        <v>259.0</v>
      </c>
      <c r="E33" s="4">
        <v>1.9544052E7</v>
      </c>
      <c r="F33" s="2" t="s">
        <v>39</v>
      </c>
    </row>
    <row r="34" ht="15.75" customHeight="1">
      <c r="A34" s="2">
        <v>1993.0</v>
      </c>
      <c r="B34" s="4">
        <v>4.823116106E9</v>
      </c>
      <c r="C34" s="7">
        <v>0.067</v>
      </c>
      <c r="D34" s="5">
        <v>267.0</v>
      </c>
      <c r="E34" s="4">
        <v>1.8064105E7</v>
      </c>
      <c r="F34" s="2" t="s">
        <v>40</v>
      </c>
    </row>
    <row r="35" ht="15.75" customHeight="1">
      <c r="A35" s="2">
        <v>1992.0</v>
      </c>
      <c r="B35" s="4">
        <v>4.519644026E9</v>
      </c>
      <c r="C35" s="7">
        <v>0.042</v>
      </c>
      <c r="D35" s="5">
        <v>247.0</v>
      </c>
      <c r="E35" s="4">
        <v>1.8298153E7</v>
      </c>
      <c r="F35" s="2" t="s">
        <v>41</v>
      </c>
    </row>
    <row r="36" ht="15.75" customHeight="1">
      <c r="A36" s="2">
        <v>1991.0</v>
      </c>
      <c r="B36" s="4">
        <v>4.33607353E9</v>
      </c>
      <c r="C36" s="7">
        <v>0.002</v>
      </c>
      <c r="D36" s="5">
        <v>253.0</v>
      </c>
      <c r="E36" s="4">
        <v>1.713863E7</v>
      </c>
      <c r="F36" s="2" t="s">
        <v>42</v>
      </c>
    </row>
    <row r="37" ht="15.75" customHeight="1">
      <c r="A37" s="2">
        <v>1990.0</v>
      </c>
      <c r="B37" s="4">
        <v>4.326824577E9</v>
      </c>
      <c r="C37" s="7">
        <v>0.059</v>
      </c>
      <c r="D37" s="5">
        <v>236.0</v>
      </c>
      <c r="E37" s="4">
        <v>1.8334002E7</v>
      </c>
      <c r="F37" s="2" t="s">
        <v>43</v>
      </c>
    </row>
    <row r="38" ht="15.75" customHeight="1">
      <c r="A38" s="2">
        <v>1989.0</v>
      </c>
      <c r="B38" s="4">
        <v>4.084060815E9</v>
      </c>
      <c r="C38" s="7">
        <v>0.153</v>
      </c>
      <c r="D38" s="5">
        <v>235.0</v>
      </c>
      <c r="E38" s="4">
        <v>1.7378982E7</v>
      </c>
      <c r="F38" s="2" t="s">
        <v>44</v>
      </c>
    </row>
    <row r="39" ht="15.75" customHeight="1">
      <c r="A39" s="2">
        <v>1988.0</v>
      </c>
      <c r="B39" s="4">
        <v>3.542179944E9</v>
      </c>
      <c r="C39" s="8">
        <v>0.06</v>
      </c>
      <c r="D39" s="5">
        <v>239.0</v>
      </c>
      <c r="E39" s="4">
        <v>1.4820836E7</v>
      </c>
      <c r="F39" s="2" t="s">
        <v>45</v>
      </c>
    </row>
    <row r="40" ht="15.75" customHeight="1">
      <c r="A40" s="2">
        <v>1987.0</v>
      </c>
      <c r="B40" s="4">
        <v>3.343230996E9</v>
      </c>
      <c r="C40" s="7">
        <v>0.091</v>
      </c>
      <c r="D40" s="5">
        <v>226.0</v>
      </c>
      <c r="E40" s="4">
        <v>1.4793057E7</v>
      </c>
      <c r="F40" s="2" t="s">
        <v>46</v>
      </c>
    </row>
    <row r="41" ht="15.75" customHeight="1">
      <c r="A41" s="2">
        <v>1986.0</v>
      </c>
      <c r="B41" s="4">
        <v>3.065297715E9</v>
      </c>
      <c r="C41" s="7">
        <v>0.016</v>
      </c>
      <c r="D41" s="5">
        <v>201.0</v>
      </c>
      <c r="E41" s="4">
        <v>1.5250237E7</v>
      </c>
      <c r="F41" s="2" t="s">
        <v>47</v>
      </c>
    </row>
    <row r="42" ht="15.75" customHeight="1">
      <c r="A42" s="2">
        <v>1985.0</v>
      </c>
      <c r="B42" s="4">
        <v>3.017379323E9</v>
      </c>
      <c r="C42" s="6">
        <v>-0.016</v>
      </c>
      <c r="D42" s="5">
        <v>191.0</v>
      </c>
      <c r="E42" s="4">
        <v>1.5797797E7</v>
      </c>
      <c r="F42" s="2" t="s">
        <v>48</v>
      </c>
    </row>
    <row r="43" ht="15.75" customHeight="1">
      <c r="A43" s="2">
        <v>1984.0</v>
      </c>
      <c r="B43" s="4">
        <v>3.066288E9</v>
      </c>
      <c r="C43" s="8">
        <v>0.12</v>
      </c>
      <c r="D43" s="5">
        <v>169.0</v>
      </c>
      <c r="E43" s="4">
        <v>1.8143715E7</v>
      </c>
      <c r="F43" s="2" t="s">
        <v>49</v>
      </c>
    </row>
    <row r="44" ht="15.75" customHeight="1">
      <c r="A44" s="2">
        <v>1983.0</v>
      </c>
      <c r="B44" s="4">
        <v>2.738195414E9</v>
      </c>
      <c r="C44" s="6">
        <v>-0.088</v>
      </c>
      <c r="D44" s="5">
        <v>149.0</v>
      </c>
      <c r="E44" s="4">
        <v>1.837715E7</v>
      </c>
      <c r="F44" s="2" t="s">
        <v>50</v>
      </c>
    </row>
    <row r="45" ht="15.75" customHeight="1">
      <c r="A45" s="2">
        <v>1982.0</v>
      </c>
      <c r="B45" s="4">
        <v>3.001761432E9</v>
      </c>
      <c r="C45" s="8">
        <v>2.34</v>
      </c>
      <c r="D45" s="5">
        <v>132.0</v>
      </c>
      <c r="E45" s="4">
        <v>2.2740616E7</v>
      </c>
      <c r="F45" s="2" t="s">
        <v>51</v>
      </c>
    </row>
    <row r="46" ht="15.75" customHeight="1">
      <c r="A46" s="2">
        <v>1981.0</v>
      </c>
      <c r="B46" s="4">
        <v>8.9868696E8</v>
      </c>
      <c r="C46" s="6">
        <v>-0.453</v>
      </c>
      <c r="D46" s="5">
        <v>56.0</v>
      </c>
      <c r="E46" s="4">
        <v>1.6047981E7</v>
      </c>
      <c r="F46" s="2" t="s">
        <v>52</v>
      </c>
    </row>
    <row r="47" ht="15.75" customHeight="1">
      <c r="A47" s="2">
        <v>1980.0</v>
      </c>
      <c r="B47" s="4">
        <v>1.642400771E9</v>
      </c>
      <c r="C47" s="7">
        <v>0.336</v>
      </c>
      <c r="D47" s="5">
        <v>68.0</v>
      </c>
      <c r="E47" s="4">
        <v>2.4152952E7</v>
      </c>
      <c r="F47" s="2" t="s">
        <v>53</v>
      </c>
    </row>
    <row r="48" ht="15.75" customHeight="1">
      <c r="A48" s="2">
        <v>1979.0</v>
      </c>
      <c r="B48" s="4">
        <v>1.229428453E9</v>
      </c>
      <c r="C48" s="7">
        <v>0.488</v>
      </c>
      <c r="D48" s="5">
        <v>40.0</v>
      </c>
      <c r="E48" s="4">
        <v>3.0735711E7</v>
      </c>
      <c r="F48" s="2" t="s">
        <v>54</v>
      </c>
    </row>
    <row r="49" ht="15.75" customHeight="1">
      <c r="A49" s="2">
        <v>1978.0</v>
      </c>
      <c r="B49" s="4">
        <v>8.26413013E8</v>
      </c>
      <c r="C49" s="7">
        <v>0.863</v>
      </c>
      <c r="D49" s="5">
        <v>13.0</v>
      </c>
      <c r="E49" s="4">
        <v>6.3570231E7</v>
      </c>
      <c r="F49" s="2" t="s">
        <v>55</v>
      </c>
    </row>
    <row r="50" ht="15.75" customHeight="1">
      <c r="A50" s="2">
        <v>1977.0</v>
      </c>
      <c r="B50" s="4">
        <v>4.43497461E8</v>
      </c>
      <c r="C50" s="7">
        <v>2.906</v>
      </c>
      <c r="D50" s="5">
        <v>9.0</v>
      </c>
      <c r="E50" s="4">
        <v>4.9277495E7</v>
      </c>
      <c r="F50" s="2" t="s">
        <v>56</v>
      </c>
    </row>
    <row r="51" ht="15.75" customHeight="1">
      <c r="A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table" ref="B1"/>
    <hyperlink r:id="rId2" location="table" ref="C1"/>
    <hyperlink r:id="rId3" location="table" ref="D1"/>
    <hyperlink r:id="rId4" location="table" ref="E1"/>
    <hyperlink r:id="rId5" ref="A2"/>
    <hyperlink r:id="rId6" ref="F2"/>
    <hyperlink r:id="rId7" ref="A3"/>
    <hyperlink r:id="rId8" ref="F3"/>
    <hyperlink r:id="rId9" ref="A4"/>
    <hyperlink r:id="rId10" ref="F4"/>
    <hyperlink r:id="rId11" ref="A5"/>
    <hyperlink r:id="rId12" ref="F5"/>
    <hyperlink r:id="rId13" ref="A6"/>
    <hyperlink r:id="rId14" ref="F6"/>
    <hyperlink r:id="rId15" ref="A7"/>
    <hyperlink r:id="rId16" ref="F7"/>
    <hyperlink r:id="rId17" ref="A8"/>
    <hyperlink r:id="rId18" ref="F8"/>
    <hyperlink r:id="rId19" ref="A9"/>
    <hyperlink r:id="rId20" ref="F9"/>
    <hyperlink r:id="rId21" ref="A10"/>
    <hyperlink r:id="rId22" ref="F10"/>
    <hyperlink r:id="rId23" ref="A11"/>
    <hyperlink r:id="rId24" ref="F11"/>
    <hyperlink r:id="rId25" ref="A12"/>
    <hyperlink r:id="rId26" ref="F12"/>
    <hyperlink r:id="rId27" ref="A13"/>
    <hyperlink r:id="rId28" ref="F13"/>
    <hyperlink r:id="rId29" ref="A14"/>
    <hyperlink r:id="rId30" ref="F14"/>
    <hyperlink r:id="rId31" ref="A15"/>
    <hyperlink r:id="rId32" ref="F15"/>
    <hyperlink r:id="rId33" ref="A16"/>
    <hyperlink r:id="rId34" ref="F16"/>
    <hyperlink r:id="rId35" ref="A17"/>
    <hyperlink r:id="rId36" ref="F17"/>
    <hyperlink r:id="rId37" ref="A18"/>
    <hyperlink r:id="rId38" ref="F18"/>
    <hyperlink r:id="rId39" ref="A19"/>
    <hyperlink r:id="rId40" ref="F19"/>
    <hyperlink r:id="rId41" ref="A20"/>
    <hyperlink r:id="rId42" ref="F20"/>
    <hyperlink r:id="rId43" ref="A21"/>
    <hyperlink r:id="rId44" ref="F21"/>
    <hyperlink r:id="rId45" ref="A22"/>
    <hyperlink r:id="rId46" ref="F22"/>
    <hyperlink r:id="rId47" ref="A23"/>
    <hyperlink r:id="rId48" ref="F23"/>
    <hyperlink r:id="rId49" ref="A24"/>
    <hyperlink r:id="rId50" ref="F24"/>
    <hyperlink r:id="rId51" ref="A25"/>
    <hyperlink r:id="rId52" ref="F25"/>
    <hyperlink r:id="rId53" ref="A26"/>
    <hyperlink r:id="rId54" ref="F26"/>
    <hyperlink r:id="rId55" ref="A27"/>
    <hyperlink r:id="rId56" ref="F27"/>
    <hyperlink r:id="rId57" ref="A28"/>
    <hyperlink r:id="rId58" ref="F28"/>
    <hyperlink r:id="rId59" ref="A29"/>
    <hyperlink r:id="rId60" ref="F29"/>
    <hyperlink r:id="rId61" ref="A30"/>
    <hyperlink r:id="rId62" ref="F30"/>
    <hyperlink r:id="rId63" ref="A31"/>
    <hyperlink r:id="rId64" ref="F31"/>
    <hyperlink r:id="rId65" ref="A32"/>
    <hyperlink r:id="rId66" ref="F32"/>
    <hyperlink r:id="rId67" ref="A33"/>
    <hyperlink r:id="rId68" ref="F33"/>
    <hyperlink r:id="rId69" ref="A34"/>
    <hyperlink r:id="rId70" ref="F34"/>
    <hyperlink r:id="rId71" ref="A35"/>
    <hyperlink r:id="rId72" ref="F35"/>
    <hyperlink r:id="rId73" ref="A36"/>
    <hyperlink r:id="rId74" ref="F36"/>
    <hyperlink r:id="rId75" ref="A37"/>
    <hyperlink r:id="rId76" ref="F37"/>
    <hyperlink r:id="rId77" ref="A38"/>
    <hyperlink r:id="rId78" ref="F38"/>
    <hyperlink r:id="rId79" ref="A39"/>
    <hyperlink r:id="rId80" ref="F39"/>
    <hyperlink r:id="rId81" ref="A40"/>
    <hyperlink r:id="rId82" ref="F40"/>
    <hyperlink r:id="rId83" ref="A41"/>
    <hyperlink r:id="rId84" ref="F41"/>
    <hyperlink r:id="rId85" ref="A42"/>
    <hyperlink r:id="rId86" ref="F42"/>
    <hyperlink r:id="rId87" ref="A43"/>
    <hyperlink r:id="rId88" ref="F43"/>
    <hyperlink r:id="rId89" ref="A44"/>
    <hyperlink r:id="rId90" ref="F44"/>
    <hyperlink r:id="rId91" ref="A45"/>
    <hyperlink r:id="rId92" ref="F45"/>
    <hyperlink r:id="rId93" ref="A46"/>
    <hyperlink r:id="rId94" ref="F46"/>
    <hyperlink r:id="rId95" ref="A47"/>
    <hyperlink r:id="rId96" ref="F47"/>
    <hyperlink r:id="rId97" ref="A48"/>
    <hyperlink r:id="rId98" ref="F48"/>
    <hyperlink r:id="rId99" ref="A49"/>
    <hyperlink r:id="rId100" ref="F49"/>
    <hyperlink r:id="rId101" ref="A50"/>
    <hyperlink r:id="rId102" ref="F50"/>
  </hyperlinks>
  <printOptions/>
  <pageMargins bottom="0.75" footer="0.0" header="0.0" left="0.7" right="0.7" top="0.75"/>
  <pageSetup orientation="landscape"/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33"/>
    <col customWidth="1" min="3" max="5" width="26.78"/>
    <col customWidth="1" min="6" max="26" width="10.56"/>
  </cols>
  <sheetData>
    <row r="1" ht="15.75" customHeight="1">
      <c r="A1" s="9" t="s">
        <v>0</v>
      </c>
      <c r="B1" s="9" t="s">
        <v>57</v>
      </c>
      <c r="C1" s="9" t="s">
        <v>58</v>
      </c>
      <c r="D1" s="9" t="s">
        <v>59</v>
      </c>
      <c r="E1" s="9" t="s">
        <v>4</v>
      </c>
      <c r="H1" s="1" t="s">
        <v>60</v>
      </c>
    </row>
    <row r="2" ht="15.75" customHeight="1">
      <c r="D2" s="9" t="s">
        <v>61</v>
      </c>
      <c r="E2" s="9" t="s">
        <v>62</v>
      </c>
    </row>
    <row r="3" ht="15.75" customHeight="1">
      <c r="A3" s="2">
        <v>2025.0</v>
      </c>
      <c r="B3" s="10">
        <v>7.66303564E8</v>
      </c>
      <c r="C3" s="11">
        <v>8.66689331E9</v>
      </c>
      <c r="D3" s="11">
        <v>8.66689331E9</v>
      </c>
      <c r="E3" s="12">
        <v>11.31</v>
      </c>
    </row>
    <row r="4" ht="15.75" customHeight="1">
      <c r="A4" s="2">
        <v>2024.0</v>
      </c>
      <c r="B4" s="13">
        <v>7.60482781E8</v>
      </c>
      <c r="C4" s="14">
        <v>8.601060254E9</v>
      </c>
      <c r="D4" s="14">
        <v>8.601060254E9</v>
      </c>
      <c r="E4" s="12">
        <v>11.31</v>
      </c>
    </row>
    <row r="5" ht="15.75" customHeight="1">
      <c r="A5" s="2">
        <v>2023.0</v>
      </c>
      <c r="B5" s="13">
        <v>8.19306691E8</v>
      </c>
      <c r="C5" s="14">
        <v>8.96321761E9</v>
      </c>
      <c r="D5" s="14">
        <v>9.266358669E9</v>
      </c>
      <c r="E5" s="12">
        <v>10.94</v>
      </c>
    </row>
    <row r="6" ht="15.75" customHeight="1">
      <c r="A6" s="2">
        <v>2022.0</v>
      </c>
      <c r="B6" s="13">
        <v>7.0237346E8</v>
      </c>
      <c r="C6" s="14">
        <v>7.395994572E9</v>
      </c>
      <c r="D6" s="14">
        <v>7.943843838E9</v>
      </c>
      <c r="E6" s="12">
        <v>10.53</v>
      </c>
    </row>
    <row r="7" ht="15.75" customHeight="1">
      <c r="A7" s="2">
        <v>2021.0</v>
      </c>
      <c r="B7" s="13">
        <v>4.44250543E8</v>
      </c>
      <c r="C7" s="14">
        <v>4.51802958E9</v>
      </c>
      <c r="D7" s="14">
        <v>5.024473637E9</v>
      </c>
      <c r="E7" s="12">
        <v>10.17</v>
      </c>
    </row>
    <row r="8" ht="15.75" customHeight="1">
      <c r="A8" s="2">
        <v>2020.0</v>
      </c>
      <c r="B8" s="13">
        <v>2.19986842E8</v>
      </c>
      <c r="C8" s="14">
        <v>2.01948107E9</v>
      </c>
      <c r="D8" s="14">
        <v>2.488051184E9</v>
      </c>
      <c r="E8" s="12">
        <v>9.18</v>
      </c>
    </row>
    <row r="9" ht="15.75" customHeight="1">
      <c r="A9" s="2">
        <v>2019.0</v>
      </c>
      <c r="B9" s="13">
        <v>1.225563974E9</v>
      </c>
      <c r="C9" s="14">
        <v>1.122616862E10</v>
      </c>
      <c r="D9" s="14">
        <v>1.3861128548E10</v>
      </c>
      <c r="E9" s="12">
        <v>9.16</v>
      </c>
    </row>
    <row r="10" ht="15.75" customHeight="1">
      <c r="A10" s="2">
        <v>2018.0</v>
      </c>
      <c r="B10" s="13">
        <v>1.311558716E9</v>
      </c>
      <c r="C10" s="14">
        <v>1.1948302425E10</v>
      </c>
      <c r="D10" s="14">
        <v>1.4833727968E10</v>
      </c>
      <c r="E10" s="12">
        <v>9.11</v>
      </c>
    </row>
    <row r="11" ht="15.75" customHeight="1">
      <c r="A11" s="2">
        <v>2017.0</v>
      </c>
      <c r="B11" s="13">
        <v>1.225762392E9</v>
      </c>
      <c r="C11" s="14">
        <v>1.099509146E10</v>
      </c>
      <c r="D11" s="14">
        <v>1.3863372665E10</v>
      </c>
      <c r="E11" s="12">
        <v>8.97</v>
      </c>
    </row>
    <row r="12" ht="15.75" customHeight="1">
      <c r="A12" s="2">
        <v>2016.0</v>
      </c>
      <c r="B12" s="13">
        <v>1.302610878E9</v>
      </c>
      <c r="C12" s="14">
        <v>1.1267792299E10</v>
      </c>
      <c r="D12" s="14">
        <v>1.4732529022E10</v>
      </c>
      <c r="E12" s="12">
        <v>8.65</v>
      </c>
    </row>
    <row r="13" ht="15.75" customHeight="1">
      <c r="A13" s="2">
        <v>2015.0</v>
      </c>
      <c r="B13" s="13">
        <v>1.336743967E9</v>
      </c>
      <c r="C13" s="14">
        <v>1.1268754656E10</v>
      </c>
      <c r="D13" s="14">
        <v>1.5118574269E10</v>
      </c>
      <c r="E13" s="12">
        <v>8.43</v>
      </c>
    </row>
    <row r="14" ht="15.75" customHeight="1">
      <c r="A14" s="2">
        <v>2014.0</v>
      </c>
      <c r="B14" s="13">
        <v>1.257327489E9</v>
      </c>
      <c r="C14" s="14">
        <v>1.0272368746E10</v>
      </c>
      <c r="D14" s="14">
        <v>1.42203739E10</v>
      </c>
      <c r="E14" s="12">
        <v>8.17</v>
      </c>
    </row>
    <row r="15" ht="15.75" customHeight="1">
      <c r="A15" s="2">
        <v>2013.0</v>
      </c>
      <c r="B15" s="13">
        <v>1.339166251E9</v>
      </c>
      <c r="C15" s="14">
        <v>1.0887424599E10</v>
      </c>
      <c r="D15" s="14">
        <v>1.5145970298E10</v>
      </c>
      <c r="E15" s="12">
        <v>8.13</v>
      </c>
    </row>
    <row r="16" ht="15.75" customHeight="1">
      <c r="A16" s="2">
        <v>2012.0</v>
      </c>
      <c r="B16" s="13">
        <v>1.382840535E9</v>
      </c>
      <c r="C16" s="14">
        <v>1.1007413639E10</v>
      </c>
      <c r="D16" s="14">
        <v>1.5639926442E10</v>
      </c>
      <c r="E16" s="12">
        <v>7.96</v>
      </c>
    </row>
    <row r="17" ht="15.75" customHeight="1">
      <c r="A17" s="2">
        <v>2011.0</v>
      </c>
      <c r="B17" s="13">
        <v>1.28291559E9</v>
      </c>
      <c r="C17" s="14">
        <v>1.0173523046E10</v>
      </c>
      <c r="D17" s="14">
        <v>1.450977532E10</v>
      </c>
      <c r="E17" s="12">
        <v>7.93</v>
      </c>
    </row>
    <row r="18" ht="15.75" customHeight="1">
      <c r="A18" s="2">
        <v>2010.0</v>
      </c>
      <c r="B18" s="13">
        <v>1.32878754E9</v>
      </c>
      <c r="C18" s="14">
        <v>1.0484135922E10</v>
      </c>
      <c r="D18" s="14">
        <v>1.5028586742E10</v>
      </c>
      <c r="E18" s="12">
        <v>7.89</v>
      </c>
    </row>
    <row r="19" ht="15.75" customHeight="1">
      <c r="A19" s="2">
        <v>2009.0</v>
      </c>
      <c r="B19" s="13">
        <v>1.418567388E9</v>
      </c>
      <c r="C19" s="14">
        <v>1.0639257284E10</v>
      </c>
      <c r="D19" s="14">
        <v>1.6043988821E10</v>
      </c>
      <c r="E19" s="12">
        <v>7.5</v>
      </c>
    </row>
    <row r="20" ht="15.75" customHeight="1">
      <c r="A20" s="2">
        <v>2008.0</v>
      </c>
      <c r="B20" s="13">
        <v>1.358069603E9</v>
      </c>
      <c r="C20" s="14">
        <v>9.75094182E9</v>
      </c>
      <c r="D20" s="14">
        <v>1.53597672E10</v>
      </c>
      <c r="E20" s="12">
        <v>7.18</v>
      </c>
    </row>
    <row r="21" ht="15.75" customHeight="1">
      <c r="A21" s="2">
        <v>2007.0</v>
      </c>
      <c r="B21" s="13">
        <v>1.420164148E9</v>
      </c>
      <c r="C21" s="14">
        <v>9.770731899E9</v>
      </c>
      <c r="D21" s="14">
        <v>1.6062056511E10</v>
      </c>
      <c r="E21" s="12">
        <v>6.88</v>
      </c>
    </row>
    <row r="22" ht="15.75" customHeight="1">
      <c r="A22" s="2">
        <v>2006.0</v>
      </c>
      <c r="B22" s="13">
        <v>1.401392669E9</v>
      </c>
      <c r="C22" s="14">
        <v>9.179124447E9</v>
      </c>
      <c r="D22" s="14">
        <v>1.5849751091E10</v>
      </c>
      <c r="E22" s="12">
        <v>6.55</v>
      </c>
    </row>
    <row r="23" ht="15.75" customHeight="1">
      <c r="A23" s="2">
        <v>2005.0</v>
      </c>
      <c r="B23" s="13">
        <v>1.373062008E9</v>
      </c>
      <c r="C23" s="14">
        <v>8.801329592E9</v>
      </c>
      <c r="D23" s="14">
        <v>1.552933131E10</v>
      </c>
      <c r="E23" s="12">
        <v>6.41</v>
      </c>
    </row>
    <row r="24" ht="15.75" customHeight="1">
      <c r="A24" s="2">
        <v>2004.0</v>
      </c>
      <c r="B24" s="13">
        <v>1.496253578E9</v>
      </c>
      <c r="C24" s="14">
        <v>9.291736694E9</v>
      </c>
      <c r="D24" s="14">
        <v>1.6922627987E10</v>
      </c>
      <c r="E24" s="12">
        <v>6.21</v>
      </c>
    </row>
    <row r="25" ht="15.75" customHeight="1">
      <c r="A25" s="2">
        <v>2003.0</v>
      </c>
      <c r="B25" s="13">
        <v>1.525189405E9</v>
      </c>
      <c r="C25" s="14">
        <v>9.196893999E9</v>
      </c>
      <c r="D25" s="14">
        <v>1.7249892183E10</v>
      </c>
      <c r="E25" s="12">
        <v>6.03</v>
      </c>
    </row>
    <row r="26" ht="15.75" customHeight="1">
      <c r="A26" s="2">
        <v>2002.0</v>
      </c>
      <c r="B26" s="13">
        <v>1.57592167E9</v>
      </c>
      <c r="C26" s="14">
        <v>9.156106691E9</v>
      </c>
      <c r="D26" s="14">
        <v>1.7823674086E10</v>
      </c>
      <c r="E26" s="12">
        <v>5.81</v>
      </c>
    </row>
    <row r="27" ht="15.75" customHeight="1">
      <c r="A27" s="2">
        <v>2001.0</v>
      </c>
      <c r="B27" s="13">
        <v>1.466351713E9</v>
      </c>
      <c r="C27" s="14">
        <v>8.299552336E9</v>
      </c>
      <c r="D27" s="14">
        <v>1.6584437879E10</v>
      </c>
      <c r="E27" s="12">
        <v>5.66</v>
      </c>
    </row>
    <row r="28" ht="15.75" customHeight="1">
      <c r="A28" s="2">
        <v>2000.0</v>
      </c>
      <c r="B28" s="13">
        <v>1.401848498E9</v>
      </c>
      <c r="C28" s="14">
        <v>7.555963414E9</v>
      </c>
      <c r="D28" s="14">
        <v>1.5854906518E10</v>
      </c>
      <c r="E28" s="12">
        <v>5.39</v>
      </c>
    </row>
    <row r="29" ht="15.75" customHeight="1">
      <c r="A29" s="2">
        <v>1999.0</v>
      </c>
      <c r="B29" s="13">
        <v>1.444661989E9</v>
      </c>
      <c r="C29" s="14">
        <v>7.338884198E9</v>
      </c>
      <c r="D29" s="14">
        <v>1.6339127088E10</v>
      </c>
      <c r="E29" s="12">
        <v>5.08</v>
      </c>
    </row>
    <row r="30" ht="15.75" customHeight="1">
      <c r="A30" s="2">
        <v>1998.0</v>
      </c>
      <c r="B30" s="13">
        <v>1.454585697E9</v>
      </c>
      <c r="C30" s="14">
        <v>6.822007916E9</v>
      </c>
      <c r="D30" s="14">
        <v>1.6451364229E10</v>
      </c>
      <c r="E30" s="12">
        <v>4.69</v>
      </c>
    </row>
    <row r="31" ht="15.75" customHeight="1">
      <c r="A31" s="2">
        <v>1997.0</v>
      </c>
      <c r="B31" s="13">
        <v>1.349765352E9</v>
      </c>
      <c r="C31" s="14">
        <v>6.195423856E9</v>
      </c>
      <c r="D31" s="14">
        <v>1.5265846145E10</v>
      </c>
      <c r="E31" s="12">
        <v>4.59</v>
      </c>
    </row>
    <row r="32" ht="15.75" customHeight="1">
      <c r="A32" s="2">
        <v>1996.0</v>
      </c>
      <c r="B32" s="13">
        <v>1.305793554E9</v>
      </c>
      <c r="C32" s="14">
        <v>5.771608313E9</v>
      </c>
      <c r="D32" s="14">
        <v>1.4768506285E10</v>
      </c>
      <c r="E32" s="12">
        <v>4.42</v>
      </c>
    </row>
    <row r="33" ht="15.75" customHeight="1">
      <c r="A33" s="2">
        <v>1995.0</v>
      </c>
      <c r="B33" s="13">
        <v>1.221788544E9</v>
      </c>
      <c r="C33" s="14">
        <v>5.31478087E9</v>
      </c>
      <c r="D33" s="14">
        <v>1.3818428426E10</v>
      </c>
      <c r="E33" s="12">
        <v>4.35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C1:C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</hyperlinks>
  <printOptions/>
  <pageMargins bottom="0.75" footer="0.0" header="0.0" left="0.7" right="0.7" top="0.75"/>
  <pageSetup orientation="landscape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8.11"/>
    <col customWidth="1" min="2" max="2" width="22.89"/>
    <col customWidth="1" min="3" max="3" width="17.0"/>
    <col customWidth="1" min="4" max="4" width="15.44"/>
  </cols>
  <sheetData>
    <row r="1">
      <c r="A1" s="15" t="s">
        <v>63</v>
      </c>
      <c r="B1" s="15" t="s">
        <v>64</v>
      </c>
      <c r="C1" s="15" t="s">
        <v>65</v>
      </c>
      <c r="D1" s="15" t="s">
        <v>66</v>
      </c>
      <c r="G1" s="16" t="s">
        <v>67</v>
      </c>
      <c r="H1" s="17" t="s">
        <v>68</v>
      </c>
    </row>
    <row r="2">
      <c r="A2" s="15" t="s">
        <v>69</v>
      </c>
      <c r="B2" s="15">
        <v>3.092</v>
      </c>
      <c r="C2" s="1">
        <f>100*B2/(combined!C10/10^9)</f>
        <v>25.87815315</v>
      </c>
      <c r="D2" s="1">
        <f>(C2+C3)^2 - SUMSQ(C2:C3)</f>
        <v>467.8221961</v>
      </c>
    </row>
    <row r="3">
      <c r="A3" s="15" t="s">
        <v>70</v>
      </c>
      <c r="B3" s="15">
        <v>1.08</v>
      </c>
      <c r="C3" s="1">
        <f>100*B3/(combined!$C$10/10^9)</f>
        <v>9.038940944</v>
      </c>
    </row>
    <row r="4">
      <c r="A4" s="15" t="s">
        <v>71</v>
      </c>
      <c r="B4" s="15">
        <v>1.94</v>
      </c>
      <c r="C4" s="1">
        <f>100*B4/(combined!$C$10/10^9)</f>
        <v>16.23661614</v>
      </c>
    </row>
    <row r="5">
      <c r="A5" s="15" t="s">
        <v>72</v>
      </c>
      <c r="B5" s="15">
        <v>1.24</v>
      </c>
      <c r="C5" s="1">
        <f>100*B5/(combined!$C$10/10^9)</f>
        <v>10.37804331</v>
      </c>
    </row>
    <row r="6">
      <c r="A6" s="15" t="s">
        <v>73</v>
      </c>
      <c r="B6" s="15">
        <v>1.96</v>
      </c>
      <c r="C6" s="1">
        <f>100*B6/(combined!$C$10/10^9)</f>
        <v>16.40400394</v>
      </c>
    </row>
    <row r="7">
      <c r="A7" s="15" t="s">
        <v>74</v>
      </c>
      <c r="B7" s="15">
        <v>0.757</v>
      </c>
      <c r="C7" s="1">
        <f>100*B7/(combined!$C$10/10^9)</f>
        <v>6.335628051</v>
      </c>
    </row>
    <row r="9">
      <c r="A9" s="15" t="s">
        <v>75</v>
      </c>
      <c r="B9" s="1">
        <f>100-sum(C2:C7)</f>
        <v>15.72861448</v>
      </c>
    </row>
    <row r="10">
      <c r="A10" s="15" t="s">
        <v>76</v>
      </c>
      <c r="B10" s="1">
        <f>min(C2:C7)</f>
        <v>6.335628051</v>
      </c>
    </row>
    <row r="11">
      <c r="A11" s="15" t="s">
        <v>77</v>
      </c>
      <c r="B11" s="1">
        <f>B9/B10</f>
        <v>2.482565951</v>
      </c>
    </row>
    <row r="13">
      <c r="A13" s="15" t="s">
        <v>78</v>
      </c>
      <c r="B13" s="1">
        <f>SUMSQ(C2:C7) + B11*(B10^2)</f>
        <v>1531.594929</v>
      </c>
    </row>
    <row r="14">
      <c r="A14" s="15" t="s">
        <v>79</v>
      </c>
      <c r="B14" s="1">
        <f>SUMSQ(sum(C2:C3),C4:C7) + B11*(B10^2)</f>
        <v>1999.417125</v>
      </c>
    </row>
    <row r="15">
      <c r="A15" s="15" t="s">
        <v>66</v>
      </c>
      <c r="B15" s="15">
        <f>B14-B13</f>
        <v>467.8221961</v>
      </c>
    </row>
  </sheetData>
  <hyperlinks>
    <hyperlink r:id="rId1" ref="H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0</v>
      </c>
      <c r="B1" s="18" t="s">
        <v>80</v>
      </c>
      <c r="C1" s="18" t="s">
        <v>81</v>
      </c>
      <c r="D1" s="18" t="s">
        <v>82</v>
      </c>
      <c r="E1" s="18" t="s">
        <v>83</v>
      </c>
      <c r="F1" s="19" t="s">
        <v>5</v>
      </c>
      <c r="G1" s="18" t="s">
        <v>84</v>
      </c>
      <c r="H1" s="18" t="s">
        <v>85</v>
      </c>
      <c r="I1" s="15" t="s">
        <v>86</v>
      </c>
    </row>
    <row r="2">
      <c r="A2" s="20">
        <v>2025.0</v>
      </c>
      <c r="B2" s="21">
        <v>1.42344146E9</v>
      </c>
      <c r="C2" s="22">
        <v>-0.116</v>
      </c>
      <c r="D2" s="23">
        <v>216.0</v>
      </c>
      <c r="E2" s="21">
        <v>6590006.0</v>
      </c>
      <c r="F2" s="24" t="s">
        <v>87</v>
      </c>
      <c r="G2" s="21">
        <v>1.96988959E8</v>
      </c>
      <c r="H2" s="25">
        <v>0.138</v>
      </c>
      <c r="I2" s="15" t="s">
        <v>88</v>
      </c>
    </row>
    <row r="3">
      <c r="A3" s="20">
        <v>2024.0</v>
      </c>
      <c r="B3" s="21">
        <v>1.609310109E9</v>
      </c>
      <c r="C3" s="22">
        <v>-0.066</v>
      </c>
      <c r="D3" s="23">
        <v>215.0</v>
      </c>
      <c r="E3" s="21">
        <v>7485163.0</v>
      </c>
      <c r="F3" s="24" t="s">
        <v>89</v>
      </c>
      <c r="G3" s="21">
        <v>2.52642707E8</v>
      </c>
      <c r="H3" s="25">
        <v>0.157</v>
      </c>
      <c r="I3" s="15" t="s">
        <v>88</v>
      </c>
    </row>
    <row r="4">
      <c r="A4" s="20">
        <v>2023.0</v>
      </c>
      <c r="B4" s="21">
        <v>1.722455494E9</v>
      </c>
      <c r="C4" s="26">
        <f>+28.1%</f>
        <v>0.281</v>
      </c>
      <c r="D4" s="23">
        <v>187.0</v>
      </c>
      <c r="E4" s="21">
        <v>9210991.0</v>
      </c>
      <c r="F4" s="24" t="s">
        <v>90</v>
      </c>
      <c r="G4" s="21">
        <v>2.80147218E8</v>
      </c>
      <c r="H4" s="25">
        <v>0.163</v>
      </c>
      <c r="I4" s="15" t="s">
        <v>88</v>
      </c>
    </row>
    <row r="5">
      <c r="A5" s="20">
        <v>2022.0</v>
      </c>
      <c r="B5" s="21">
        <v>1.345032667E9</v>
      </c>
      <c r="C5" s="26">
        <f>+468.7%</f>
        <v>4.687</v>
      </c>
      <c r="D5" s="23">
        <v>135.0</v>
      </c>
      <c r="E5" s="21">
        <v>9963204.0</v>
      </c>
      <c r="F5" s="24" t="s">
        <v>91</v>
      </c>
      <c r="G5" s="21">
        <v>3.38200421E8</v>
      </c>
      <c r="H5" s="25">
        <v>0.251</v>
      </c>
      <c r="I5" s="15" t="s">
        <v>88</v>
      </c>
    </row>
    <row r="6">
      <c r="A6" s="20">
        <v>2021.0</v>
      </c>
      <c r="B6" s="21">
        <v>2.36495603E8</v>
      </c>
      <c r="C6" s="22">
        <v>-0.868</v>
      </c>
      <c r="D6" s="23">
        <v>111.0</v>
      </c>
      <c r="E6" s="21">
        <v>2130591.0</v>
      </c>
      <c r="F6" s="24" t="s">
        <v>92</v>
      </c>
      <c r="G6" s="21">
        <v>3.7900149E7</v>
      </c>
      <c r="H6" s="27">
        <v>0.16</v>
      </c>
      <c r="I6" s="15" t="s">
        <v>88</v>
      </c>
    </row>
    <row r="7">
      <c r="A7" s="20">
        <v>2020.0</v>
      </c>
      <c r="B7" s="21">
        <v>1.789173905E9</v>
      </c>
      <c r="C7" s="22">
        <v>-0.254</v>
      </c>
      <c r="D7" s="23">
        <v>246.0</v>
      </c>
      <c r="E7" s="21">
        <v>7273064.0</v>
      </c>
      <c r="F7" s="24" t="s">
        <v>93</v>
      </c>
      <c r="G7" s="21">
        <v>2.04417855E8</v>
      </c>
      <c r="H7" s="25">
        <v>0.114</v>
      </c>
      <c r="I7" s="15" t="s">
        <v>88</v>
      </c>
    </row>
    <row r="8">
      <c r="A8" s="20">
        <v>2019.0</v>
      </c>
      <c r="B8" s="21">
        <v>2.400027437E9</v>
      </c>
      <c r="C8" s="28">
        <v>-0.16</v>
      </c>
      <c r="D8" s="23">
        <v>302.0</v>
      </c>
      <c r="E8" s="21">
        <v>7947110.0</v>
      </c>
      <c r="F8" s="24" t="s">
        <v>94</v>
      </c>
      <c r="G8" s="21">
        <v>3.53970079E8</v>
      </c>
      <c r="H8" s="25">
        <v>0.148</v>
      </c>
      <c r="I8" s="15" t="s">
        <v>88</v>
      </c>
    </row>
    <row r="9">
      <c r="A9" s="20">
        <v>2018.0</v>
      </c>
      <c r="B9" s="21">
        <v>2.858379432E9</v>
      </c>
      <c r="C9" s="22">
        <v>-0.018</v>
      </c>
      <c r="D9" s="23">
        <v>321.0</v>
      </c>
      <c r="E9" s="21">
        <v>8904608.0</v>
      </c>
      <c r="F9" s="24" t="s">
        <v>95</v>
      </c>
      <c r="G9" s="21">
        <v>6.47827473E8</v>
      </c>
      <c r="H9" s="25">
        <v>0.227</v>
      </c>
      <c r="I9" s="15" t="s">
        <v>88</v>
      </c>
    </row>
    <row r="10">
      <c r="A10" s="20">
        <v>2017.0</v>
      </c>
      <c r="B10" s="21">
        <v>2.912280871E9</v>
      </c>
      <c r="C10" s="26">
        <f>+4.6%</f>
        <v>0.046</v>
      </c>
      <c r="D10" s="23">
        <v>281.0</v>
      </c>
      <c r="E10" s="21">
        <v>1.0363988E7</v>
      </c>
      <c r="F10" s="24" t="s">
        <v>96</v>
      </c>
      <c r="G10" s="21">
        <v>3.60756693E8</v>
      </c>
      <c r="H10" s="25">
        <v>0.124</v>
      </c>
      <c r="I10" s="15" t="s">
        <v>88</v>
      </c>
    </row>
    <row r="11">
      <c r="A11" s="20">
        <v>2016.0</v>
      </c>
      <c r="B11" s="21">
        <v>2.78447148E9</v>
      </c>
      <c r="C11" s="26">
        <f>+12.5%</f>
        <v>0.125</v>
      </c>
      <c r="D11" s="23">
        <v>263.0</v>
      </c>
      <c r="E11" s="21">
        <v>1.0587344E7</v>
      </c>
      <c r="F11" s="24" t="s">
        <v>97</v>
      </c>
      <c r="G11" s="21">
        <v>3.51608934E8</v>
      </c>
      <c r="H11" s="25">
        <v>0.126</v>
      </c>
      <c r="I11" s="15" t="s">
        <v>88</v>
      </c>
    </row>
    <row r="12">
      <c r="A12" s="20">
        <v>2015.0</v>
      </c>
      <c r="B12" s="21">
        <v>2.474840407E9</v>
      </c>
      <c r="C12" s="26">
        <f>+3.1%</f>
        <v>0.031</v>
      </c>
      <c r="D12" s="23">
        <v>287.0</v>
      </c>
      <c r="E12" s="21">
        <v>8623137.0</v>
      </c>
      <c r="F12" s="24" t="s">
        <v>98</v>
      </c>
      <c r="G12" s="21">
        <v>3.44257525E8</v>
      </c>
      <c r="H12" s="25">
        <v>0.139</v>
      </c>
      <c r="I12" s="15" t="s">
        <v>88</v>
      </c>
    </row>
    <row r="13">
      <c r="A13" s="20">
        <v>2014.0</v>
      </c>
      <c r="B13" s="21">
        <v>2.399896607E9</v>
      </c>
      <c r="C13" s="26">
        <f>+5.6%</f>
        <v>0.056</v>
      </c>
      <c r="D13" s="23">
        <v>302.0</v>
      </c>
      <c r="E13" s="21">
        <v>7946677.0</v>
      </c>
      <c r="F13" s="24" t="s">
        <v>99</v>
      </c>
      <c r="G13" s="21">
        <v>2.48466064E8</v>
      </c>
      <c r="H13" s="25">
        <v>0.104</v>
      </c>
      <c r="I13" s="15" t="s">
        <v>88</v>
      </c>
    </row>
    <row r="14">
      <c r="A14" s="20">
        <v>2013.0</v>
      </c>
      <c r="B14" s="21">
        <v>2.272778134E9</v>
      </c>
      <c r="C14" s="22">
        <v>-0.124</v>
      </c>
      <c r="D14" s="23">
        <v>300.0</v>
      </c>
      <c r="E14" s="21">
        <v>7575927.0</v>
      </c>
      <c r="F14" s="24" t="s">
        <v>100</v>
      </c>
      <c r="G14" s="21">
        <v>1.98374716E8</v>
      </c>
      <c r="H14" s="25">
        <v>0.087</v>
      </c>
      <c r="I14" s="15" t="s">
        <v>88</v>
      </c>
    </row>
    <row r="15">
      <c r="A15" s="20">
        <v>2012.0</v>
      </c>
      <c r="B15" s="21">
        <v>2.593311679E9</v>
      </c>
      <c r="C15" s="26">
        <f>+23.8%</f>
        <v>0.238</v>
      </c>
      <c r="D15" s="23">
        <v>288.0</v>
      </c>
      <c r="E15" s="21">
        <v>9004554.0</v>
      </c>
      <c r="F15" s="24" t="s">
        <v>101</v>
      </c>
      <c r="G15" s="21">
        <v>2.33324271E8</v>
      </c>
      <c r="H15" s="27">
        <v>0.09</v>
      </c>
      <c r="I15" s="15" t="s">
        <v>88</v>
      </c>
    </row>
    <row r="16">
      <c r="A16" s="20">
        <v>2011.0</v>
      </c>
      <c r="B16" s="21">
        <v>2.094029056E9</v>
      </c>
      <c r="C16" s="22">
        <v>-0.209</v>
      </c>
      <c r="D16" s="23">
        <v>254.0</v>
      </c>
      <c r="E16" s="21">
        <v>8244208.0</v>
      </c>
      <c r="F16" s="24" t="s">
        <v>102</v>
      </c>
      <c r="G16" s="21">
        <v>1.17779109E8</v>
      </c>
      <c r="H16" s="25">
        <v>0.056</v>
      </c>
      <c r="I16" s="15" t="s">
        <v>88</v>
      </c>
    </row>
    <row r="17">
      <c r="A17" s="20">
        <v>2010.0</v>
      </c>
      <c r="B17" s="21">
        <v>2.647418567E9</v>
      </c>
      <c r="C17" s="26">
        <f>+9%</f>
        <v>0.09</v>
      </c>
      <c r="D17" s="23">
        <v>230.0</v>
      </c>
      <c r="E17" s="21">
        <v>1.1510515E7</v>
      </c>
      <c r="F17" s="24" t="s">
        <v>103</v>
      </c>
      <c r="G17" s="21">
        <v>4.57515793E8</v>
      </c>
      <c r="H17" s="25">
        <v>0.173</v>
      </c>
      <c r="I17" s="15" t="s">
        <v>88</v>
      </c>
    </row>
    <row r="18">
      <c r="A18" s="20">
        <v>2009.0</v>
      </c>
      <c r="B18" s="21">
        <v>2.42935155E9</v>
      </c>
      <c r="C18" s="26">
        <f>+9.6%</f>
        <v>0.096</v>
      </c>
      <c r="D18" s="23">
        <v>231.0</v>
      </c>
      <c r="E18" s="21">
        <v>1.0516673E7</v>
      </c>
      <c r="F18" s="24" t="s">
        <v>104</v>
      </c>
      <c r="G18" s="21">
        <v>1.42641708E8</v>
      </c>
      <c r="H18" s="25">
        <v>0.059</v>
      </c>
      <c r="I18" s="15" t="s">
        <v>88</v>
      </c>
    </row>
    <row r="19">
      <c r="A19" s="20">
        <v>2008.0</v>
      </c>
      <c r="B19" s="21">
        <v>2.216936112E9</v>
      </c>
      <c r="C19" s="26">
        <f>+2.6%</f>
        <v>0.026</v>
      </c>
      <c r="D19" s="23">
        <v>273.0</v>
      </c>
      <c r="E19" s="21">
        <v>8120645.0</v>
      </c>
      <c r="F19" s="24" t="s">
        <v>105</v>
      </c>
      <c r="G19" s="21">
        <v>1.18763428E8</v>
      </c>
      <c r="H19" s="25">
        <v>0.054</v>
      </c>
      <c r="I19" s="15" t="s">
        <v>88</v>
      </c>
    </row>
    <row r="20">
      <c r="A20" s="20">
        <v>2007.0</v>
      </c>
      <c r="B20" s="21">
        <v>2.161093052E9</v>
      </c>
      <c r="C20" s="26">
        <f>+6.9%</f>
        <v>0.069</v>
      </c>
      <c r="D20" s="23">
        <v>274.0</v>
      </c>
      <c r="E20" s="21">
        <v>7887200.0</v>
      </c>
      <c r="F20" s="24">
        <v>300.0</v>
      </c>
      <c r="G20" s="21">
        <v>1.76488891E8</v>
      </c>
      <c r="H20" s="25">
        <v>0.082</v>
      </c>
      <c r="I20" s="15" t="s">
        <v>88</v>
      </c>
    </row>
    <row r="21">
      <c r="A21" s="20">
        <v>2006.0</v>
      </c>
      <c r="B21" s="21">
        <v>2.021028188E9</v>
      </c>
      <c r="C21" s="23" t="s">
        <v>106</v>
      </c>
      <c r="D21" s="23">
        <v>278.0</v>
      </c>
      <c r="E21" s="21">
        <v>7269885.0</v>
      </c>
      <c r="F21" s="24" t="s">
        <v>107</v>
      </c>
      <c r="G21" s="21">
        <v>8.1398292E7</v>
      </c>
      <c r="H21" s="27">
        <v>0.04</v>
      </c>
      <c r="I21" s="15" t="s">
        <v>88</v>
      </c>
    </row>
    <row r="22">
      <c r="A22" s="20">
        <v>2005.0</v>
      </c>
      <c r="B22" s="21">
        <v>2.019460461E9</v>
      </c>
      <c r="C22" s="22">
        <v>-0.045</v>
      </c>
      <c r="D22" s="23">
        <v>241.0</v>
      </c>
      <c r="E22" s="21">
        <v>8379503.0</v>
      </c>
      <c r="F22" s="24" t="s">
        <v>108</v>
      </c>
      <c r="G22" s="21">
        <v>1.68359864E8</v>
      </c>
      <c r="H22" s="25">
        <v>0.083</v>
      </c>
      <c r="I22" s="15" t="s">
        <v>88</v>
      </c>
    </row>
    <row r="23">
      <c r="A23" s="20">
        <v>2004.0</v>
      </c>
      <c r="B23" s="21">
        <v>2.11490606E9</v>
      </c>
      <c r="C23" s="26">
        <f>+6%</f>
        <v>0.06</v>
      </c>
      <c r="D23" s="23">
        <v>265.0</v>
      </c>
      <c r="E23" s="21">
        <v>7980777.0</v>
      </c>
      <c r="F23" s="24" t="s">
        <v>109</v>
      </c>
      <c r="G23" s="21">
        <v>3.18972677E8</v>
      </c>
      <c r="H23" s="25">
        <v>0.151</v>
      </c>
      <c r="I23" s="15" t="s">
        <v>88</v>
      </c>
    </row>
    <row r="24">
      <c r="A24" s="20">
        <v>2003.0</v>
      </c>
      <c r="B24" s="21">
        <v>1.995420606E9</v>
      </c>
      <c r="C24" s="22">
        <v>-0.045</v>
      </c>
      <c r="D24" s="23">
        <v>269.0</v>
      </c>
      <c r="E24" s="21">
        <v>7417920.0</v>
      </c>
      <c r="F24" s="24" t="s">
        <v>110</v>
      </c>
      <c r="G24" s="21">
        <v>1.42019118E8</v>
      </c>
      <c r="H24" s="25">
        <v>0.071</v>
      </c>
      <c r="I24" s="15" t="s">
        <v>88</v>
      </c>
    </row>
    <row r="25">
      <c r="A25" s="20">
        <v>2002.0</v>
      </c>
      <c r="B25" s="21">
        <v>2.089641421E9</v>
      </c>
      <c r="C25" s="26">
        <f>+20.2%</f>
        <v>0.202</v>
      </c>
      <c r="D25" s="23">
        <v>146.0</v>
      </c>
      <c r="E25" s="21">
        <v>1.4312612E7</v>
      </c>
      <c r="F25" s="24" t="s">
        <v>111</v>
      </c>
      <c r="G25" s="21">
        <v>1.44967885E8</v>
      </c>
      <c r="H25" s="25">
        <v>0.069</v>
      </c>
      <c r="I25" s="15" t="s">
        <v>88</v>
      </c>
    </row>
    <row r="26">
      <c r="A26" s="20">
        <v>2001.0</v>
      </c>
      <c r="B26" s="21">
        <v>1.737935031E9</v>
      </c>
      <c r="C26" s="26">
        <f>+8.7%</f>
        <v>0.087</v>
      </c>
      <c r="D26" s="23">
        <v>145.0</v>
      </c>
      <c r="E26" s="21">
        <v>1.1985758E7</v>
      </c>
      <c r="F26" s="24" t="s">
        <v>112</v>
      </c>
      <c r="G26" s="21">
        <v>1.61288587E8</v>
      </c>
      <c r="H26" s="25">
        <v>0.093</v>
      </c>
      <c r="I26" s="15" t="s">
        <v>88</v>
      </c>
    </row>
    <row r="27">
      <c r="A27" s="20">
        <v>2000.0</v>
      </c>
      <c r="B27" s="21">
        <v>1.599313548E9</v>
      </c>
      <c r="C27" s="26">
        <f>+7.1%</f>
        <v>0.071</v>
      </c>
      <c r="D27" s="23">
        <v>155.0</v>
      </c>
      <c r="E27" s="21">
        <v>1.0318151E7</v>
      </c>
      <c r="F27" s="24" t="s">
        <v>113</v>
      </c>
      <c r="G27" s="21">
        <v>8.668024E7</v>
      </c>
      <c r="H27" s="25">
        <v>0.054</v>
      </c>
      <c r="I27" s="15" t="s">
        <v>88</v>
      </c>
    </row>
    <row r="28">
      <c r="A28" s="20">
        <v>1999.0</v>
      </c>
      <c r="B28" s="21">
        <v>1.493520001E9</v>
      </c>
      <c r="C28" s="22">
        <v>-0.058</v>
      </c>
      <c r="D28" s="23">
        <v>145.0</v>
      </c>
      <c r="E28" s="21">
        <v>1.0300137E7</v>
      </c>
      <c r="F28" s="24" t="s">
        <v>114</v>
      </c>
      <c r="G28" s="21">
        <v>8.6964105E7</v>
      </c>
      <c r="H28" s="25">
        <v>0.058</v>
      </c>
      <c r="I28" s="15" t="s">
        <v>88</v>
      </c>
    </row>
    <row r="29">
      <c r="A29" s="20">
        <v>1998.0</v>
      </c>
      <c r="B29" s="21">
        <v>1.584603253E9</v>
      </c>
      <c r="C29" s="26">
        <f>+5.4%</f>
        <v>0.054</v>
      </c>
      <c r="D29" s="23">
        <v>103.0</v>
      </c>
      <c r="E29" s="21">
        <v>1.5384497E7</v>
      </c>
      <c r="F29" s="24" t="s">
        <v>115</v>
      </c>
      <c r="G29" s="21">
        <v>4.04465186E8</v>
      </c>
      <c r="H29" s="25">
        <v>0.255</v>
      </c>
      <c r="I29" s="15" t="s">
        <v>88</v>
      </c>
    </row>
    <row r="30">
      <c r="A30" s="20">
        <v>1997.0</v>
      </c>
      <c r="B30" s="21">
        <v>1.503346036E9</v>
      </c>
      <c r="C30" s="26">
        <f>+14.5%</f>
        <v>0.145</v>
      </c>
      <c r="D30" s="23">
        <v>102.0</v>
      </c>
      <c r="E30" s="21">
        <v>1.4738686E7</v>
      </c>
      <c r="F30" s="24" t="s">
        <v>116</v>
      </c>
      <c r="G30" s="21">
        <v>1.35869744E8</v>
      </c>
      <c r="H30" s="27">
        <v>0.09</v>
      </c>
      <c r="I30" s="15" t="s">
        <v>88</v>
      </c>
    </row>
    <row r="31">
      <c r="A31" s="20">
        <v>1996.0</v>
      </c>
      <c r="B31" s="21">
        <v>1.312853239E9</v>
      </c>
      <c r="C31" s="26">
        <f>+27.2%</f>
        <v>0.272</v>
      </c>
      <c r="D31" s="23">
        <v>100.0</v>
      </c>
      <c r="E31" s="21">
        <v>1.3128532E7</v>
      </c>
      <c r="F31" s="24" t="s">
        <v>117</v>
      </c>
      <c r="G31" s="21">
        <v>7.3596614E7</v>
      </c>
      <c r="H31" s="25">
        <v>0.056</v>
      </c>
      <c r="I31" s="15" t="s">
        <v>88</v>
      </c>
    </row>
    <row r="32">
      <c r="A32" s="20">
        <v>1995.0</v>
      </c>
      <c r="B32" s="21">
        <v>1.03195891E9</v>
      </c>
      <c r="C32" s="22">
        <v>-0.054</v>
      </c>
      <c r="D32" s="23">
        <v>90.0</v>
      </c>
      <c r="E32" s="21">
        <v>1.146621E7</v>
      </c>
      <c r="F32" s="24" t="s">
        <v>118</v>
      </c>
      <c r="G32" s="21">
        <v>7.0423183E7</v>
      </c>
      <c r="H32" s="25">
        <v>0.068</v>
      </c>
      <c r="I32" s="15" t="s">
        <v>88</v>
      </c>
    </row>
    <row r="33">
      <c r="A33" s="20">
        <v>1994.0</v>
      </c>
      <c r="B33" s="21">
        <v>1.090547186E9</v>
      </c>
      <c r="C33" s="26">
        <f>+5.9%</f>
        <v>0.059</v>
      </c>
      <c r="D33" s="23">
        <v>80.0</v>
      </c>
      <c r="E33" s="21">
        <v>1.3631839E7</v>
      </c>
      <c r="F33" s="24" t="s">
        <v>119</v>
      </c>
      <c r="G33" s="21">
        <v>9.9557666E7</v>
      </c>
      <c r="H33" s="25">
        <v>0.091</v>
      </c>
      <c r="I33" s="15" t="s">
        <v>88</v>
      </c>
    </row>
    <row r="34">
      <c r="A34" s="20">
        <v>1993.0</v>
      </c>
      <c r="B34" s="21">
        <v>1.029975681E9</v>
      </c>
      <c r="C34" s="22">
        <v>-0.049</v>
      </c>
      <c r="D34" s="23">
        <v>79.0</v>
      </c>
      <c r="E34" s="21">
        <v>1.3037666E7</v>
      </c>
      <c r="F34" s="24" t="s">
        <v>120</v>
      </c>
      <c r="G34" s="21">
        <v>9.6495266E7</v>
      </c>
      <c r="H34" s="25">
        <v>0.094</v>
      </c>
      <c r="I34" s="15" t="s">
        <v>88</v>
      </c>
    </row>
    <row r="35">
      <c r="A35" s="20">
        <v>1992.0</v>
      </c>
      <c r="B35" s="21">
        <v>1.082569421E9</v>
      </c>
      <c r="C35" s="22">
        <v>-0.074</v>
      </c>
      <c r="D35" s="23">
        <v>80.0</v>
      </c>
      <c r="E35" s="21">
        <v>1.3532117E7</v>
      </c>
      <c r="F35" s="24" t="s">
        <v>121</v>
      </c>
      <c r="G35" s="21">
        <v>8.6774633E7</v>
      </c>
      <c r="H35" s="27">
        <v>0.08</v>
      </c>
      <c r="I35" s="15" t="s">
        <v>88</v>
      </c>
    </row>
    <row r="36">
      <c r="A36" s="20">
        <v>1991.0</v>
      </c>
      <c r="B36" s="21">
        <v>1.16922832E9</v>
      </c>
      <c r="C36" s="26">
        <f>+27.1%</f>
        <v>0.271</v>
      </c>
      <c r="D36" s="23">
        <v>78.0</v>
      </c>
      <c r="E36" s="21">
        <v>1.4990106E7</v>
      </c>
      <c r="F36" s="24" t="s">
        <v>122</v>
      </c>
      <c r="G36" s="21">
        <v>1.12371586E8</v>
      </c>
      <c r="H36" s="25">
        <v>0.096</v>
      </c>
      <c r="I36" s="15" t="s">
        <v>88</v>
      </c>
    </row>
    <row r="37">
      <c r="A37" s="20">
        <v>1990.0</v>
      </c>
      <c r="B37" s="21">
        <v>9.20096405E8</v>
      </c>
      <c r="C37" s="26">
        <f>+8.4%</f>
        <v>0.084</v>
      </c>
      <c r="D37" s="23">
        <v>74.0</v>
      </c>
      <c r="E37" s="21">
        <v>1.2433735E7</v>
      </c>
      <c r="F37" s="24" t="s">
        <v>123</v>
      </c>
      <c r="G37" s="21">
        <v>7.753389E7</v>
      </c>
      <c r="H37" s="25">
        <v>0.084</v>
      </c>
      <c r="I37" s="15" t="s">
        <v>88</v>
      </c>
    </row>
    <row r="38">
      <c r="A38" s="20">
        <v>1989.0</v>
      </c>
      <c r="B38" s="21">
        <v>8.48510689E8</v>
      </c>
      <c r="C38" s="26">
        <f>+5.4%</f>
        <v>0.054</v>
      </c>
      <c r="D38" s="23">
        <v>76.0</v>
      </c>
      <c r="E38" s="21">
        <v>1.1164614E7</v>
      </c>
      <c r="F38" s="24" t="s">
        <v>124</v>
      </c>
      <c r="G38" s="21">
        <v>1.04595898E8</v>
      </c>
      <c r="H38" s="25">
        <v>0.123</v>
      </c>
      <c r="I38" s="15" t="s">
        <v>88</v>
      </c>
    </row>
    <row r="39">
      <c r="A39" s="20">
        <v>1988.0</v>
      </c>
      <c r="B39" s="21">
        <v>8.05248043E8</v>
      </c>
      <c r="C39" s="26">
        <f>+7.8%</f>
        <v>0.078</v>
      </c>
      <c r="D39" s="23">
        <v>69.0</v>
      </c>
      <c r="E39" s="21">
        <v>1.1670261E7</v>
      </c>
      <c r="F39" s="24" t="s">
        <v>125</v>
      </c>
      <c r="G39" s="21">
        <v>1.02142288E8</v>
      </c>
      <c r="H39" s="25">
        <v>0.127</v>
      </c>
      <c r="I39" s="15" t="s">
        <v>88</v>
      </c>
    </row>
    <row r="40">
      <c r="A40" s="20">
        <v>1987.0</v>
      </c>
      <c r="B40" s="21">
        <v>7.47325153E8</v>
      </c>
      <c r="C40" s="26">
        <f>+1.6%</f>
        <v>0.016</v>
      </c>
      <c r="D40" s="23">
        <v>64.0</v>
      </c>
      <c r="E40" s="21">
        <v>1.1676955E7</v>
      </c>
      <c r="F40" s="24" t="s">
        <v>126</v>
      </c>
      <c r="G40" s="21">
        <v>9.6969476E7</v>
      </c>
      <c r="H40" s="27">
        <v>0.13</v>
      </c>
      <c r="I40" s="15" t="s">
        <v>88</v>
      </c>
    </row>
    <row r="41">
      <c r="A41" s="20">
        <v>1986.0</v>
      </c>
      <c r="B41" s="21">
        <v>7.35507104E8</v>
      </c>
      <c r="C41" s="26">
        <f>+8.2%</f>
        <v>0.082</v>
      </c>
      <c r="D41" s="23">
        <v>67.0</v>
      </c>
      <c r="E41" s="21">
        <v>1.0977717E7</v>
      </c>
      <c r="F41" s="24" t="s">
        <v>127</v>
      </c>
      <c r="G41" s="21">
        <v>7.2083563E7</v>
      </c>
      <c r="H41" s="25">
        <v>0.098</v>
      </c>
      <c r="I41" s="15" t="s">
        <v>88</v>
      </c>
    </row>
    <row r="42">
      <c r="A42" s="20">
        <v>1985.0</v>
      </c>
      <c r="B42" s="21">
        <v>6.79586647E8</v>
      </c>
      <c r="C42" s="26">
        <f>+15.8%</f>
        <v>0.158</v>
      </c>
      <c r="D42" s="23">
        <v>71.0</v>
      </c>
      <c r="E42" s="21">
        <v>9571642.0</v>
      </c>
      <c r="F42" s="24" t="s">
        <v>128</v>
      </c>
      <c r="G42" s="21">
        <v>1.1709781E8</v>
      </c>
      <c r="H42" s="25">
        <v>0.172</v>
      </c>
      <c r="I42" s="15" t="s">
        <v>88</v>
      </c>
    </row>
    <row r="43">
      <c r="A43" s="20">
        <v>1984.0</v>
      </c>
      <c r="B43" s="21">
        <v>5.86663552E8</v>
      </c>
      <c r="C43" s="26">
        <f>+3.8%</f>
        <v>0.038</v>
      </c>
      <c r="D43" s="23">
        <v>52.0</v>
      </c>
      <c r="E43" s="21">
        <v>1.1281991E7</v>
      </c>
      <c r="F43" s="24" t="s">
        <v>129</v>
      </c>
      <c r="G43" s="21">
        <v>5.8508174E7</v>
      </c>
      <c r="H43" s="27">
        <v>0.1</v>
      </c>
      <c r="I43" s="15" t="s">
        <v>88</v>
      </c>
    </row>
    <row r="44">
      <c r="A44" s="20">
        <v>1983.0</v>
      </c>
      <c r="B44" s="21">
        <v>5.65092372E8</v>
      </c>
      <c r="C44" s="22">
        <v>-0.342</v>
      </c>
      <c r="D44" s="23">
        <v>46.0</v>
      </c>
      <c r="E44" s="21">
        <v>1.2284616E7</v>
      </c>
      <c r="F44" s="24" t="s">
        <v>130</v>
      </c>
      <c r="G44" s="21">
        <v>1.13307846E8</v>
      </c>
      <c r="H44" s="27">
        <v>0.2</v>
      </c>
      <c r="I44" s="15" t="s">
        <v>88</v>
      </c>
    </row>
    <row r="45">
      <c r="A45" s="20">
        <v>1982.0</v>
      </c>
      <c r="B45" s="21">
        <v>8.58287167E8</v>
      </c>
      <c r="C45" s="26" t="str">
        <f>+1,120.2%</f>
        <v>#ERROR!</v>
      </c>
      <c r="D45" s="23">
        <v>42.0</v>
      </c>
      <c r="E45" s="21">
        <v>2.0435408E7</v>
      </c>
      <c r="F45" s="24" t="s">
        <v>131</v>
      </c>
      <c r="G45" s="21">
        <v>1.90360115E8</v>
      </c>
      <c r="H45" s="25">
        <v>0.222</v>
      </c>
      <c r="I45" s="15" t="s">
        <v>88</v>
      </c>
    </row>
    <row r="46">
      <c r="A46" s="20">
        <v>1981.0</v>
      </c>
      <c r="B46" s="21">
        <v>7.0340201E7</v>
      </c>
      <c r="C46" s="22">
        <v>-0.542</v>
      </c>
      <c r="D46" s="23">
        <v>8.0</v>
      </c>
      <c r="E46" s="21">
        <v>8792525.0</v>
      </c>
      <c r="F46" s="24" t="s">
        <v>132</v>
      </c>
      <c r="G46" s="21">
        <v>2.0471382E7</v>
      </c>
      <c r="H46" s="25">
        <v>0.291</v>
      </c>
      <c r="I46" s="15" t="s">
        <v>88</v>
      </c>
    </row>
    <row r="47">
      <c r="A47" s="20">
        <v>1980.0</v>
      </c>
      <c r="B47" s="21">
        <v>1.5360206E8</v>
      </c>
      <c r="C47" s="22">
        <v>-0.008</v>
      </c>
      <c r="D47" s="23">
        <v>16.0</v>
      </c>
      <c r="E47" s="21">
        <v>9600128.0</v>
      </c>
      <c r="F47" s="24" t="s">
        <v>133</v>
      </c>
      <c r="G47" s="21">
        <v>5.8485E7</v>
      </c>
      <c r="H47" s="25">
        <v>0.381</v>
      </c>
      <c r="I47" s="15" t="s">
        <v>88</v>
      </c>
    </row>
    <row r="48">
      <c r="A48" s="20">
        <v>1979.0</v>
      </c>
      <c r="B48" s="21">
        <v>1.54821597E8</v>
      </c>
      <c r="C48" s="22">
        <v>-0.064</v>
      </c>
      <c r="D48" s="23">
        <v>7.0</v>
      </c>
      <c r="E48" s="21">
        <v>2.2117371E7</v>
      </c>
      <c r="F48" s="24" t="s">
        <v>134</v>
      </c>
      <c r="G48" s="21">
        <v>9.3292767E7</v>
      </c>
      <c r="H48" s="25">
        <v>0.603</v>
      </c>
      <c r="I48" s="15" t="s">
        <v>88</v>
      </c>
    </row>
    <row r="49">
      <c r="A49" s="20">
        <v>1978.0</v>
      </c>
      <c r="B49" s="21">
        <v>1.65356172E8</v>
      </c>
      <c r="C49" s="23" t="s">
        <v>7</v>
      </c>
      <c r="D49" s="23">
        <v>3.0</v>
      </c>
      <c r="E49" s="21">
        <v>5.5118724E7</v>
      </c>
      <c r="F49" s="24" t="s">
        <v>135</v>
      </c>
      <c r="G49" s="21">
        <v>7.5978327E7</v>
      </c>
      <c r="H49" s="27">
        <v>0.46</v>
      </c>
      <c r="I49" s="15" t="s">
        <v>88</v>
      </c>
    </row>
    <row r="50">
      <c r="A50" s="20">
        <v>1972.0</v>
      </c>
      <c r="B50" s="21">
        <v>1.33698921E8</v>
      </c>
      <c r="C50" s="23" t="s">
        <v>7</v>
      </c>
      <c r="D50" s="23">
        <v>1.0</v>
      </c>
      <c r="E50" s="21">
        <v>1.33698921E8</v>
      </c>
      <c r="F50" s="24" t="s">
        <v>136</v>
      </c>
      <c r="G50" s="21">
        <v>1.33698921E8</v>
      </c>
      <c r="H50" s="27">
        <v>1.0</v>
      </c>
      <c r="I50" s="15" t="s">
        <v>88</v>
      </c>
    </row>
    <row r="51">
      <c r="A51" s="29">
        <v>2025.0</v>
      </c>
      <c r="B51" s="30">
        <v>2.673854431E9</v>
      </c>
      <c r="C51" s="31">
        <f>+37.4%</f>
        <v>0.374</v>
      </c>
      <c r="D51" s="32">
        <v>219.0</v>
      </c>
      <c r="E51" s="30">
        <v>1.220938E7</v>
      </c>
      <c r="F51" s="33" t="s">
        <v>137</v>
      </c>
      <c r="G51" s="30">
        <v>4.23943857E8</v>
      </c>
      <c r="H51" s="34">
        <v>0.159</v>
      </c>
      <c r="I51" s="15" t="s">
        <v>138</v>
      </c>
    </row>
    <row r="52">
      <c r="A52" s="29">
        <v>2024.0</v>
      </c>
      <c r="B52" s="30">
        <v>1.946504025E9</v>
      </c>
      <c r="C52" s="35">
        <v>-0.273</v>
      </c>
      <c r="D52" s="32">
        <v>224.0</v>
      </c>
      <c r="E52" s="30">
        <v>8689750.0</v>
      </c>
      <c r="F52" s="33" t="s">
        <v>139</v>
      </c>
      <c r="G52" s="30">
        <v>4.69426251E8</v>
      </c>
      <c r="H52" s="34">
        <v>0.241</v>
      </c>
      <c r="I52" s="15" t="s">
        <v>138</v>
      </c>
    </row>
    <row r="53">
      <c r="A53" s="29">
        <v>2023.0</v>
      </c>
      <c r="B53" s="30">
        <v>2.677305425E9</v>
      </c>
      <c r="C53" s="31">
        <f>+15.1%</f>
        <v>0.151</v>
      </c>
      <c r="D53" s="32">
        <v>197.0</v>
      </c>
      <c r="E53" s="30">
        <v>1.3590382E7</v>
      </c>
      <c r="F53" s="33" t="s">
        <v>140</v>
      </c>
      <c r="G53" s="30">
        <v>5.7334699E8</v>
      </c>
      <c r="H53" s="34">
        <v>0.214</v>
      </c>
      <c r="I53" s="15" t="s">
        <v>138</v>
      </c>
    </row>
    <row r="54">
      <c r="A54" s="29">
        <v>2022.0</v>
      </c>
      <c r="B54" s="30">
        <v>2.325946057E9</v>
      </c>
      <c r="C54" s="31">
        <f>+186.8%</f>
        <v>1.868</v>
      </c>
      <c r="D54" s="32">
        <v>175.0</v>
      </c>
      <c r="E54" s="30">
        <v>1.329112E7</v>
      </c>
      <c r="F54" s="33" t="s">
        <v>141</v>
      </c>
      <c r="G54" s="30">
        <v>5.38475367E8</v>
      </c>
      <c r="H54" s="34">
        <v>0.232</v>
      </c>
      <c r="I54" s="15" t="s">
        <v>138</v>
      </c>
    </row>
    <row r="55">
      <c r="A55" s="29">
        <v>2021.0</v>
      </c>
      <c r="B55" s="30">
        <v>8.11084276E8</v>
      </c>
      <c r="C55" s="31" t="str">
        <f>+17,064.1%</f>
        <v>#ERROR!</v>
      </c>
      <c r="D55" s="32">
        <v>152.0</v>
      </c>
      <c r="E55" s="30">
        <v>5336080.0</v>
      </c>
      <c r="F55" s="33" t="s">
        <v>142</v>
      </c>
      <c r="G55" s="30">
        <v>1.39269168E8</v>
      </c>
      <c r="H55" s="34">
        <v>0.172</v>
      </c>
      <c r="I55" s="15" t="s">
        <v>138</v>
      </c>
    </row>
    <row r="56">
      <c r="A56" s="29">
        <v>2020.0</v>
      </c>
      <c r="B56" s="30">
        <v>4725480.0</v>
      </c>
      <c r="C56" s="35">
        <v>-0.999</v>
      </c>
      <c r="D56" s="32">
        <v>30.0</v>
      </c>
      <c r="E56" s="30">
        <v>157516.0</v>
      </c>
      <c r="F56" s="33" t="s">
        <v>143</v>
      </c>
      <c r="G56" s="30">
        <v>1641880.0</v>
      </c>
      <c r="H56" s="34">
        <v>0.348</v>
      </c>
      <c r="I56" s="15" t="s">
        <v>138</v>
      </c>
    </row>
    <row r="57">
      <c r="A57" s="29">
        <v>2019.0</v>
      </c>
      <c r="B57" s="30">
        <v>3.26169858E9</v>
      </c>
      <c r="C57" s="35">
        <v>-0.026</v>
      </c>
      <c r="D57" s="32">
        <v>368.0</v>
      </c>
      <c r="E57" s="30">
        <v>8863311.0</v>
      </c>
      <c r="F57" s="33" t="s">
        <v>144</v>
      </c>
      <c r="G57" s="30">
        <v>8.41889897E8</v>
      </c>
      <c r="H57" s="34">
        <v>0.258</v>
      </c>
      <c r="I57" s="15" t="s">
        <v>138</v>
      </c>
    </row>
    <row r="58">
      <c r="A58" s="29">
        <v>2018.0</v>
      </c>
      <c r="B58" s="30">
        <v>3.347412357E9</v>
      </c>
      <c r="C58" s="31">
        <f>+23.7%</f>
        <v>0.237</v>
      </c>
      <c r="D58" s="32">
        <v>370.0</v>
      </c>
      <c r="E58" s="30">
        <v>9047060.0</v>
      </c>
      <c r="F58" s="33" t="s">
        <v>145</v>
      </c>
      <c r="G58" s="30">
        <v>6.72137234E8</v>
      </c>
      <c r="H58" s="34">
        <v>0.201</v>
      </c>
      <c r="I58" s="15" t="s">
        <v>138</v>
      </c>
    </row>
    <row r="59">
      <c r="A59" s="29">
        <v>2017.0</v>
      </c>
      <c r="B59" s="30">
        <v>2.705602209E9</v>
      </c>
      <c r="C59" s="35">
        <v>-0.035</v>
      </c>
      <c r="D59" s="32">
        <v>312.0</v>
      </c>
      <c r="E59" s="30">
        <v>8671801.0</v>
      </c>
      <c r="F59" s="33" t="s">
        <v>146</v>
      </c>
      <c r="G59" s="30">
        <v>3.82257158E8</v>
      </c>
      <c r="H59" s="34">
        <v>0.141</v>
      </c>
      <c r="I59" s="15" t="s">
        <v>138</v>
      </c>
    </row>
    <row r="60">
      <c r="A60" s="29">
        <v>2016.0</v>
      </c>
      <c r="B60" s="30">
        <v>2.803870622E9</v>
      </c>
      <c r="C60" s="35">
        <v>-0.099</v>
      </c>
      <c r="D60" s="32">
        <v>318.0</v>
      </c>
      <c r="E60" s="30">
        <v>8817203.0</v>
      </c>
      <c r="F60" s="33" t="s">
        <v>147</v>
      </c>
      <c r="G60" s="30">
        <v>4.04648388E8</v>
      </c>
      <c r="H60" s="34">
        <v>0.144</v>
      </c>
      <c r="I60" s="15" t="s">
        <v>138</v>
      </c>
    </row>
    <row r="61">
      <c r="A61" s="29">
        <v>2015.0</v>
      </c>
      <c r="B61" s="30">
        <v>3.111375596E9</v>
      </c>
      <c r="C61" s="31">
        <f>+9.7%</f>
        <v>0.097</v>
      </c>
      <c r="D61" s="32">
        <v>307.0</v>
      </c>
      <c r="E61" s="30">
        <v>1.0134773E7</v>
      </c>
      <c r="F61" s="33" t="s">
        <v>148</v>
      </c>
      <c r="G61" s="30">
        <v>5.14374125E8</v>
      </c>
      <c r="H61" s="34">
        <v>0.165</v>
      </c>
      <c r="I61" s="15" t="s">
        <v>138</v>
      </c>
    </row>
    <row r="62">
      <c r="A62" s="29">
        <v>2014.0</v>
      </c>
      <c r="B62" s="30">
        <v>2.836836996E9</v>
      </c>
      <c r="C62" s="35">
        <v>-0.073</v>
      </c>
      <c r="D62" s="32">
        <v>332.0</v>
      </c>
      <c r="E62" s="30">
        <v>8544689.0</v>
      </c>
      <c r="F62" s="33" t="s">
        <v>149</v>
      </c>
      <c r="G62" s="30">
        <v>2.57215069E8</v>
      </c>
      <c r="H62" s="34">
        <v>0.091</v>
      </c>
      <c r="I62" s="15" t="s">
        <v>138</v>
      </c>
    </row>
    <row r="63">
      <c r="A63" s="29">
        <v>2013.0</v>
      </c>
      <c r="B63" s="30">
        <v>3.060536205E9</v>
      </c>
      <c r="C63" s="31">
        <f>+8.3%</f>
        <v>0.083</v>
      </c>
      <c r="D63" s="32">
        <v>336.0</v>
      </c>
      <c r="E63" s="30">
        <v>9108738.0</v>
      </c>
      <c r="F63" s="33" t="s">
        <v>150</v>
      </c>
      <c r="G63" s="30">
        <v>4.05393205E8</v>
      </c>
      <c r="H63" s="34">
        <v>0.132</v>
      </c>
      <c r="I63" s="15" t="s">
        <v>138</v>
      </c>
    </row>
    <row r="64">
      <c r="A64" s="29">
        <v>2012.0</v>
      </c>
      <c r="B64" s="30">
        <v>2.826021556E9</v>
      </c>
      <c r="C64" s="35">
        <v>-0.003</v>
      </c>
      <c r="D64" s="32">
        <v>326.0</v>
      </c>
      <c r="E64" s="30">
        <v>8668777.0</v>
      </c>
      <c r="F64" s="33" t="s">
        <v>151</v>
      </c>
      <c r="G64" s="30">
        <v>6.05205241E8</v>
      </c>
      <c r="H64" s="34">
        <v>0.214</v>
      </c>
      <c r="I64" s="15" t="s">
        <v>138</v>
      </c>
    </row>
    <row r="65">
      <c r="A65" s="29">
        <v>2011.0</v>
      </c>
      <c r="B65" s="30">
        <v>2.8354255E9</v>
      </c>
      <c r="C65" s="31">
        <f>+4%</f>
        <v>0.04</v>
      </c>
      <c r="D65" s="32">
        <v>296.0</v>
      </c>
      <c r="E65" s="30">
        <v>9579140.0</v>
      </c>
      <c r="F65" s="33" t="s">
        <v>152</v>
      </c>
      <c r="G65" s="30">
        <v>2.45851882E8</v>
      </c>
      <c r="H65" s="34">
        <v>0.087</v>
      </c>
      <c r="I65" s="15" t="s">
        <v>138</v>
      </c>
    </row>
    <row r="66">
      <c r="A66" s="29">
        <v>2010.0</v>
      </c>
      <c r="B66" s="30">
        <v>2.725674879E9</v>
      </c>
      <c r="C66" s="35">
        <v>-0.036</v>
      </c>
      <c r="D66" s="32">
        <v>279.0</v>
      </c>
      <c r="E66" s="30">
        <v>9769444.0</v>
      </c>
      <c r="F66" s="33" t="s">
        <v>153</v>
      </c>
      <c r="G66" s="30">
        <v>3.07493516E8</v>
      </c>
      <c r="H66" s="34">
        <v>0.113</v>
      </c>
      <c r="I66" s="15" t="s">
        <v>138</v>
      </c>
    </row>
    <row r="67">
      <c r="A67" s="29">
        <v>2009.0</v>
      </c>
      <c r="B67" s="30">
        <v>2.828557751E9</v>
      </c>
      <c r="C67" s="31">
        <f>+12.8%</f>
        <v>0.128</v>
      </c>
      <c r="D67" s="32">
        <v>264.0</v>
      </c>
      <c r="E67" s="30">
        <v>1.0714233E7</v>
      </c>
      <c r="F67" s="33" t="s">
        <v>154</v>
      </c>
      <c r="G67" s="30">
        <v>2.54967154E8</v>
      </c>
      <c r="H67" s="36">
        <v>0.09</v>
      </c>
      <c r="I67" s="15" t="s">
        <v>138</v>
      </c>
    </row>
    <row r="68">
      <c r="A68" s="29">
        <v>2008.0</v>
      </c>
      <c r="B68" s="30">
        <v>2.507023199E9</v>
      </c>
      <c r="C68" s="31">
        <f>+1.1%</f>
        <v>0.011</v>
      </c>
      <c r="D68" s="32">
        <v>301.0</v>
      </c>
      <c r="E68" s="30">
        <v>8328980.0</v>
      </c>
      <c r="F68" s="33" t="s">
        <v>155</v>
      </c>
      <c r="G68" s="30">
        <v>3.09516225E8</v>
      </c>
      <c r="H68" s="34">
        <v>0.124</v>
      </c>
      <c r="I68" s="15" t="s">
        <v>138</v>
      </c>
    </row>
    <row r="69">
      <c r="A69" s="29">
        <v>2007.0</v>
      </c>
      <c r="B69" s="30">
        <v>2.480649077E9</v>
      </c>
      <c r="C69" s="31">
        <f>+3%</f>
        <v>0.03</v>
      </c>
      <c r="D69" s="32">
        <v>303.0</v>
      </c>
      <c r="E69" s="30">
        <v>8186960.0</v>
      </c>
      <c r="F69" s="33" t="s">
        <v>156</v>
      </c>
      <c r="G69" s="30">
        <v>3.33518162E8</v>
      </c>
      <c r="H69" s="34">
        <v>0.134</v>
      </c>
      <c r="I69" s="15" t="s">
        <v>138</v>
      </c>
    </row>
    <row r="70">
      <c r="A70" s="29">
        <v>2006.0</v>
      </c>
      <c r="B70" s="30">
        <v>2.409651381E9</v>
      </c>
      <c r="C70" s="31">
        <f>+7.7%</f>
        <v>0.077</v>
      </c>
      <c r="D70" s="32">
        <v>302.0</v>
      </c>
      <c r="E70" s="30">
        <v>7978978.0</v>
      </c>
      <c r="F70" s="33" t="s">
        <v>157</v>
      </c>
      <c r="G70" s="30">
        <v>2.27096716E8</v>
      </c>
      <c r="H70" s="34">
        <v>0.094</v>
      </c>
      <c r="I70" s="15" t="s">
        <v>138</v>
      </c>
    </row>
    <row r="71">
      <c r="A71" s="29">
        <v>2005.0</v>
      </c>
      <c r="B71" s="30">
        <v>2.236780753E9</v>
      </c>
      <c r="C71" s="35">
        <v>-0.118</v>
      </c>
      <c r="D71" s="32">
        <v>291.0</v>
      </c>
      <c r="E71" s="30">
        <v>7686531.0</v>
      </c>
      <c r="F71" s="33" t="s">
        <v>158</v>
      </c>
      <c r="G71" s="37">
        <v>3.61471114E8</v>
      </c>
      <c r="H71" s="34">
        <v>0.162</v>
      </c>
      <c r="I71" s="15" t="s">
        <v>138</v>
      </c>
    </row>
    <row r="72">
      <c r="A72" s="29">
        <v>2004.0</v>
      </c>
      <c r="B72" s="30">
        <v>2.536248727E9</v>
      </c>
      <c r="C72" s="31">
        <f>+5.2%</f>
        <v>0.052</v>
      </c>
      <c r="D72" s="32">
        <v>302.0</v>
      </c>
      <c r="E72" s="30">
        <v>8398174.0</v>
      </c>
      <c r="F72" s="33" t="s">
        <v>159</v>
      </c>
      <c r="G72" s="30">
        <v>4.0097774E8</v>
      </c>
      <c r="H72" s="34">
        <v>0.158</v>
      </c>
      <c r="I72" s="15" t="s">
        <v>138</v>
      </c>
    </row>
    <row r="73">
      <c r="A73" s="29">
        <v>2003.0</v>
      </c>
      <c r="B73" s="30">
        <v>2.411895534E9</v>
      </c>
      <c r="C73" s="35">
        <v>-0.012</v>
      </c>
      <c r="D73" s="32">
        <v>295.0</v>
      </c>
      <c r="E73" s="30">
        <v>8175917.0</v>
      </c>
      <c r="F73" s="33" t="s">
        <v>160</v>
      </c>
      <c r="G73" s="30">
        <v>2.69409164E8</v>
      </c>
      <c r="H73" s="34">
        <v>0.112</v>
      </c>
      <c r="I73" s="15" t="s">
        <v>138</v>
      </c>
    </row>
    <row r="74">
      <c r="A74" s="29">
        <v>2002.0</v>
      </c>
      <c r="B74" s="30">
        <v>2.440957646E9</v>
      </c>
      <c r="C74" s="31">
        <f>+30.6%</f>
        <v>0.306</v>
      </c>
      <c r="D74" s="32">
        <v>216.0</v>
      </c>
      <c r="E74" s="30">
        <v>1.1300729E7</v>
      </c>
      <c r="F74" s="33" t="s">
        <v>161</v>
      </c>
      <c r="G74" s="30">
        <v>3.95874471E8</v>
      </c>
      <c r="H74" s="34">
        <v>0.162</v>
      </c>
      <c r="I74" s="15" t="s">
        <v>138</v>
      </c>
    </row>
    <row r="75">
      <c r="A75" s="29">
        <v>2001.0</v>
      </c>
      <c r="B75" s="30">
        <v>1.8688099E9</v>
      </c>
      <c r="C75" s="31">
        <f>+2.6%</f>
        <v>0.026</v>
      </c>
      <c r="D75" s="32">
        <v>160.0</v>
      </c>
      <c r="E75" s="30">
        <v>1.1680061E7</v>
      </c>
      <c r="F75" s="33" t="s">
        <v>162</v>
      </c>
      <c r="G75" s="30">
        <v>2.25556336E8</v>
      </c>
      <c r="H75" s="34">
        <v>0.121</v>
      </c>
      <c r="I75" s="15" t="s">
        <v>138</v>
      </c>
    </row>
    <row r="76">
      <c r="A76" s="29">
        <v>2000.0</v>
      </c>
      <c r="B76" s="30">
        <v>1.820995213E9</v>
      </c>
      <c r="C76" s="35">
        <v>-0.006</v>
      </c>
      <c r="D76" s="32">
        <v>160.0</v>
      </c>
      <c r="E76" s="30">
        <v>1.138122E7</v>
      </c>
      <c r="F76" s="33" t="s">
        <v>163</v>
      </c>
      <c r="G76" s="30">
        <v>1.9354037E8</v>
      </c>
      <c r="H76" s="34">
        <v>0.106</v>
      </c>
      <c r="I76" s="15" t="s">
        <v>138</v>
      </c>
    </row>
    <row r="77">
      <c r="A77" s="29">
        <v>1999.0</v>
      </c>
      <c r="B77" s="30">
        <v>1.831592011E9</v>
      </c>
      <c r="C77" s="31">
        <f>+17.8%</f>
        <v>0.178</v>
      </c>
      <c r="D77" s="32">
        <v>172.0</v>
      </c>
      <c r="E77" s="30">
        <v>1.064879E7</v>
      </c>
      <c r="F77" s="33" t="s">
        <v>164</v>
      </c>
      <c r="G77" s="30">
        <v>3.57760813E8</v>
      </c>
      <c r="H77" s="34">
        <v>0.195</v>
      </c>
      <c r="I77" s="15" t="s">
        <v>138</v>
      </c>
    </row>
    <row r="78">
      <c r="A78" s="29">
        <v>1998.0</v>
      </c>
      <c r="B78" s="30">
        <v>1.55453424E9</v>
      </c>
      <c r="C78" s="31">
        <f>+14.2%</f>
        <v>0.142</v>
      </c>
      <c r="D78" s="32">
        <v>114.0</v>
      </c>
      <c r="E78" s="30">
        <v>1.3636265E7</v>
      </c>
      <c r="F78" s="33" t="s">
        <v>165</v>
      </c>
      <c r="G78" s="30">
        <v>1.36179715E8</v>
      </c>
      <c r="H78" s="34">
        <v>0.088</v>
      </c>
      <c r="I78" s="15" t="s">
        <v>138</v>
      </c>
    </row>
    <row r="79">
      <c r="A79" s="29">
        <v>1997.0</v>
      </c>
      <c r="B79" s="30">
        <v>1.360746581E9</v>
      </c>
      <c r="C79" s="35">
        <v>-0.011</v>
      </c>
      <c r="D79" s="32">
        <v>93.0</v>
      </c>
      <c r="E79" s="30">
        <v>1.4631683E7</v>
      </c>
      <c r="F79" s="33" t="s">
        <v>166</v>
      </c>
      <c r="G79" s="30">
        <v>2.13976859E8</v>
      </c>
      <c r="H79" s="34">
        <v>0.157</v>
      </c>
      <c r="I79" s="15" t="s">
        <v>138</v>
      </c>
    </row>
    <row r="80">
      <c r="A80" s="29">
        <v>1996.0</v>
      </c>
      <c r="B80" s="30">
        <v>1.375745655E9</v>
      </c>
      <c r="C80" s="31">
        <f>+9.9%</f>
        <v>0.099</v>
      </c>
      <c r="D80" s="32">
        <v>91.0</v>
      </c>
      <c r="E80" s="30">
        <v>1.5118084E7</v>
      </c>
      <c r="F80" s="33" t="s">
        <v>167</v>
      </c>
      <c r="G80" s="30">
        <v>2.18039708E8</v>
      </c>
      <c r="H80" s="34">
        <v>0.158</v>
      </c>
      <c r="I80" s="15" t="s">
        <v>138</v>
      </c>
    </row>
    <row r="81">
      <c r="A81" s="29">
        <v>1995.0</v>
      </c>
      <c r="B81" s="30">
        <v>1.252018964E9</v>
      </c>
      <c r="C81" s="31">
        <f>+13.2%</f>
        <v>0.132</v>
      </c>
      <c r="D81" s="32">
        <v>90.0</v>
      </c>
      <c r="E81" s="30">
        <v>1.3911321E7</v>
      </c>
      <c r="F81" s="33" t="s">
        <v>168</v>
      </c>
      <c r="G81" s="30">
        <v>1.24591876E8</v>
      </c>
      <c r="H81" s="36">
        <v>0.1</v>
      </c>
      <c r="I81" s="15" t="s">
        <v>138</v>
      </c>
    </row>
    <row r="82">
      <c r="A82" s="29">
        <v>1994.0</v>
      </c>
      <c r="B82" s="30">
        <v>1.10637662E9</v>
      </c>
      <c r="C82" s="35">
        <v>-0.023</v>
      </c>
      <c r="D82" s="32">
        <v>83.0</v>
      </c>
      <c r="E82" s="30">
        <v>1.3329838E7</v>
      </c>
      <c r="F82" s="33" t="s">
        <v>169</v>
      </c>
      <c r="G82" s="30">
        <v>1.0802837E8</v>
      </c>
      <c r="H82" s="34">
        <v>0.098</v>
      </c>
      <c r="I82" s="15" t="s">
        <v>138</v>
      </c>
    </row>
    <row r="83">
      <c r="A83" s="29">
        <v>1993.0</v>
      </c>
      <c r="B83" s="30">
        <v>1.132067053E9</v>
      </c>
      <c r="C83" s="31">
        <f>+0.6%</f>
        <v>0.006</v>
      </c>
      <c r="D83" s="32">
        <v>75.0</v>
      </c>
      <c r="E83" s="30">
        <v>1.5094227E7</v>
      </c>
      <c r="F83" s="33" t="s">
        <v>170</v>
      </c>
      <c r="G83" s="30">
        <v>1.82988575E8</v>
      </c>
      <c r="H83" s="34">
        <v>0.162</v>
      </c>
      <c r="I83" s="15" t="s">
        <v>138</v>
      </c>
    </row>
    <row r="84">
      <c r="A84" s="29">
        <v>1992.0</v>
      </c>
      <c r="B84" s="30">
        <v>1.125414634E9</v>
      </c>
      <c r="C84" s="31">
        <f>+19.8%</f>
        <v>0.198</v>
      </c>
      <c r="D84" s="32">
        <v>80.0</v>
      </c>
      <c r="E84" s="30">
        <v>1.4067682E7</v>
      </c>
      <c r="F84" s="33" t="s">
        <v>171</v>
      </c>
      <c r="G84" s="30">
        <v>1.2760725E8</v>
      </c>
      <c r="H84" s="34">
        <v>0.113</v>
      </c>
      <c r="I84" s="15" t="s">
        <v>138</v>
      </c>
    </row>
    <row r="85">
      <c r="A85" s="29">
        <v>1991.0</v>
      </c>
      <c r="B85" s="30">
        <v>9.39752774E8</v>
      </c>
      <c r="C85" s="35">
        <v>-0.124</v>
      </c>
      <c r="D85" s="32">
        <v>78.0</v>
      </c>
      <c r="E85" s="30">
        <v>1.2048112E7</v>
      </c>
      <c r="F85" s="33" t="s">
        <v>172</v>
      </c>
      <c r="G85" s="30">
        <v>7.5287403E7</v>
      </c>
      <c r="H85" s="36">
        <v>0.08</v>
      </c>
      <c r="I85" s="15" t="s">
        <v>138</v>
      </c>
    </row>
    <row r="86">
      <c r="A86" s="29">
        <v>1990.0</v>
      </c>
      <c r="B86" s="30">
        <v>1.073247859E9</v>
      </c>
      <c r="C86" s="31">
        <f>+8.6%</f>
        <v>0.086</v>
      </c>
      <c r="D86" s="32">
        <v>70.0</v>
      </c>
      <c r="E86" s="30">
        <v>1.5332112E7</v>
      </c>
      <c r="F86" s="33" t="s">
        <v>173</v>
      </c>
      <c r="G86" s="30">
        <v>1.26660661E8</v>
      </c>
      <c r="H86" s="34">
        <v>0.118</v>
      </c>
      <c r="I86" s="15" t="s">
        <v>138</v>
      </c>
    </row>
    <row r="87">
      <c r="A87" s="29">
        <v>1989.0</v>
      </c>
      <c r="B87" s="30">
        <v>9.88473999E8</v>
      </c>
      <c r="C87" s="31">
        <f>+15.7%</f>
        <v>0.157</v>
      </c>
      <c r="D87" s="32">
        <v>73.0</v>
      </c>
      <c r="E87" s="30">
        <v>1.3540739E7</v>
      </c>
      <c r="F87" s="33" t="s">
        <v>174</v>
      </c>
      <c r="G87" s="30">
        <v>1.42099422E8</v>
      </c>
      <c r="H87" s="34">
        <v>0.144</v>
      </c>
      <c r="I87" s="15" t="s">
        <v>138</v>
      </c>
    </row>
    <row r="88">
      <c r="A88" s="29">
        <v>1988.0</v>
      </c>
      <c r="B88" s="30">
        <v>8.54496815E8</v>
      </c>
      <c r="C88" s="31">
        <f>+8.2%</f>
        <v>0.082</v>
      </c>
      <c r="D88" s="32">
        <v>77.0</v>
      </c>
      <c r="E88" s="30">
        <v>1.1097361E7</v>
      </c>
      <c r="F88" s="33" t="s">
        <v>175</v>
      </c>
      <c r="G88" s="30">
        <v>8.2116373E7</v>
      </c>
      <c r="H88" s="34">
        <v>0.096</v>
      </c>
      <c r="I88" s="15" t="s">
        <v>138</v>
      </c>
    </row>
    <row r="89">
      <c r="A89" s="29">
        <v>1987.0</v>
      </c>
      <c r="B89" s="30">
        <v>7.89454626E8</v>
      </c>
      <c r="C89" s="31">
        <f>+23.8%</f>
        <v>0.238</v>
      </c>
      <c r="D89" s="32">
        <v>67.0</v>
      </c>
      <c r="E89" s="30">
        <v>1.1782904E7</v>
      </c>
      <c r="F89" s="33" t="s">
        <v>176</v>
      </c>
      <c r="G89" s="30">
        <v>1.19241439E8</v>
      </c>
      <c r="H89" s="34">
        <v>0.151</v>
      </c>
      <c r="I89" s="15" t="s">
        <v>138</v>
      </c>
    </row>
    <row r="90">
      <c r="A90" s="29">
        <v>1986.0</v>
      </c>
      <c r="B90" s="30">
        <v>6.37438918E8</v>
      </c>
      <c r="C90" s="35">
        <v>-0.178</v>
      </c>
      <c r="D90" s="32">
        <v>55.0</v>
      </c>
      <c r="E90" s="30">
        <v>1.1589798E7</v>
      </c>
      <c r="F90" s="33" t="s">
        <v>177</v>
      </c>
      <c r="G90" s="30">
        <v>7.2268322E7</v>
      </c>
      <c r="H90" s="34">
        <v>0.113</v>
      </c>
      <c r="I90" s="15" t="s">
        <v>138</v>
      </c>
    </row>
    <row r="91">
      <c r="A91" s="29">
        <v>1985.0</v>
      </c>
      <c r="B91" s="30">
        <v>7.75065963E8</v>
      </c>
      <c r="C91" s="35">
        <v>-0.176</v>
      </c>
      <c r="D91" s="32">
        <v>52.0</v>
      </c>
      <c r="E91" s="30">
        <v>1.4905114E7</v>
      </c>
      <c r="F91" s="33" t="s">
        <v>178</v>
      </c>
      <c r="G91" s="30">
        <v>1.05635733E8</v>
      </c>
      <c r="H91" s="34">
        <v>0.136</v>
      </c>
      <c r="I91" s="15" t="s">
        <v>138</v>
      </c>
    </row>
    <row r="92">
      <c r="A92" s="29">
        <v>1984.0</v>
      </c>
      <c r="B92" s="30">
        <v>9.40630813E8</v>
      </c>
      <c r="C92" s="31">
        <f>+18.8%</f>
        <v>0.188</v>
      </c>
      <c r="D92" s="32">
        <v>48.0</v>
      </c>
      <c r="E92" s="30">
        <v>1.9596475E7</v>
      </c>
      <c r="F92" s="33" t="s">
        <v>179</v>
      </c>
      <c r="G92" s="30">
        <v>1.22968374E8</v>
      </c>
      <c r="H92" s="34">
        <v>0.131</v>
      </c>
      <c r="I92" s="15" t="s">
        <v>138</v>
      </c>
    </row>
    <row r="93">
      <c r="A93" s="29">
        <v>1983.0</v>
      </c>
      <c r="B93" s="30">
        <v>7.91557414E8</v>
      </c>
      <c r="C93" s="31">
        <f>+10%</f>
        <v>0.1</v>
      </c>
      <c r="D93" s="32">
        <v>51.0</v>
      </c>
      <c r="E93" s="30">
        <v>1.5520733E7</v>
      </c>
      <c r="F93" s="33" t="s">
        <v>180</v>
      </c>
      <c r="G93" s="30">
        <v>1.41139269E8</v>
      </c>
      <c r="H93" s="34">
        <v>0.178</v>
      </c>
      <c r="I93" s="15" t="s">
        <v>138</v>
      </c>
    </row>
    <row r="94">
      <c r="A94" s="29">
        <v>1982.0</v>
      </c>
      <c r="B94" s="30">
        <v>7.19462678E8</v>
      </c>
      <c r="C94" s="31">
        <f>+60.6%</f>
        <v>0.606</v>
      </c>
      <c r="D94" s="32">
        <v>43.0</v>
      </c>
      <c r="E94" s="30">
        <v>1.673169E7</v>
      </c>
      <c r="F94" s="33" t="s">
        <v>181</v>
      </c>
      <c r="G94" s="30">
        <v>7.5820236E7</v>
      </c>
      <c r="H94" s="34">
        <v>0.105</v>
      </c>
      <c r="I94" s="15" t="s">
        <v>138</v>
      </c>
    </row>
    <row r="95">
      <c r="A95" s="29">
        <v>1981.0</v>
      </c>
      <c r="B95" s="30">
        <v>4.48112248E8</v>
      </c>
      <c r="C95" s="31">
        <f>+15.5%</f>
        <v>0.155</v>
      </c>
      <c r="D95" s="32">
        <v>19.0</v>
      </c>
      <c r="E95" s="30">
        <v>2.3584855E7</v>
      </c>
      <c r="F95" s="33" t="s">
        <v>182</v>
      </c>
      <c r="G95" s="30">
        <v>7.9166803E7</v>
      </c>
      <c r="H95" s="34">
        <v>0.177</v>
      </c>
      <c r="I95" s="15" t="s">
        <v>138</v>
      </c>
    </row>
    <row r="96">
      <c r="A96" s="29">
        <v>1980.0</v>
      </c>
      <c r="B96" s="30">
        <v>3.87989657E8</v>
      </c>
      <c r="C96" s="31">
        <f>+38.6%</f>
        <v>0.386</v>
      </c>
      <c r="D96" s="32">
        <v>17.0</v>
      </c>
      <c r="E96" s="30">
        <v>2.2822921E7</v>
      </c>
      <c r="F96" s="33" t="s">
        <v>183</v>
      </c>
      <c r="G96" s="30">
        <v>5.9911948E7</v>
      </c>
      <c r="H96" s="34">
        <v>0.154</v>
      </c>
      <c r="I96" s="15" t="s">
        <v>138</v>
      </c>
    </row>
    <row r="97">
      <c r="A97" s="29">
        <v>1979.0</v>
      </c>
      <c r="B97" s="30">
        <v>2.79991134E8</v>
      </c>
      <c r="C97" s="35">
        <v>-0.026</v>
      </c>
      <c r="D97" s="32">
        <v>11.0</v>
      </c>
      <c r="E97" s="30">
        <v>2.5453739E7</v>
      </c>
      <c r="F97" s="33" t="s">
        <v>184</v>
      </c>
      <c r="G97" s="30">
        <v>8.518216E7</v>
      </c>
      <c r="H97" s="34">
        <v>0.304</v>
      </c>
      <c r="I97" s="15" t="s">
        <v>138</v>
      </c>
    </row>
    <row r="98">
      <c r="A98" s="29">
        <v>1978.0</v>
      </c>
      <c r="B98" s="30">
        <v>2.87607314E8</v>
      </c>
      <c r="C98" s="31">
        <f>+179.8%</f>
        <v>1.798</v>
      </c>
      <c r="D98" s="32">
        <v>6.0</v>
      </c>
      <c r="E98" s="30">
        <v>4.7934552E7</v>
      </c>
      <c r="F98" s="33" t="s">
        <v>185</v>
      </c>
      <c r="G98" s="30">
        <v>1.5997887E8</v>
      </c>
      <c r="H98" s="34">
        <v>0.556</v>
      </c>
      <c r="I98" s="15" t="s">
        <v>138</v>
      </c>
    </row>
    <row r="99">
      <c r="A99" s="29">
        <v>1977.0</v>
      </c>
      <c r="B99" s="30">
        <v>1.02799873E8</v>
      </c>
      <c r="C99" s="31" t="str">
        <f>+1,603.4%</f>
        <v>#ERROR!</v>
      </c>
      <c r="D99" s="32">
        <v>3.0</v>
      </c>
      <c r="E99" s="30">
        <v>3.4266624E7</v>
      </c>
      <c r="F99" s="33" t="s">
        <v>186</v>
      </c>
      <c r="G99" s="30">
        <v>4.7346365E7</v>
      </c>
      <c r="H99" s="34">
        <v>0.461</v>
      </c>
      <c r="I99" s="15" t="s">
        <v>138</v>
      </c>
    </row>
    <row r="100">
      <c r="A100" s="29">
        <v>1976.0</v>
      </c>
      <c r="B100" s="30">
        <v>6034968.0</v>
      </c>
      <c r="C100" s="35">
        <v>-0.744</v>
      </c>
      <c r="D100" s="32">
        <v>1.0</v>
      </c>
      <c r="E100" s="30">
        <v>6034968.0</v>
      </c>
      <c r="F100" s="33" t="s">
        <v>187</v>
      </c>
      <c r="G100" s="30">
        <v>6034968.0</v>
      </c>
      <c r="H100" s="36">
        <v>1.0</v>
      </c>
      <c r="I100" s="15" t="s">
        <v>138</v>
      </c>
    </row>
    <row r="101">
      <c r="A101" s="29">
        <v>1975.0</v>
      </c>
      <c r="B101" s="30">
        <v>2.3565886E7</v>
      </c>
      <c r="C101" s="32" t="s">
        <v>7</v>
      </c>
      <c r="D101" s="32">
        <v>1.0</v>
      </c>
      <c r="E101" s="30">
        <v>2.3565886E7</v>
      </c>
      <c r="F101" s="33" t="s">
        <v>188</v>
      </c>
      <c r="G101" s="30">
        <v>2.3565886E7</v>
      </c>
      <c r="H101" s="36">
        <v>1.0</v>
      </c>
      <c r="I101" s="15" t="s">
        <v>138</v>
      </c>
    </row>
    <row r="102">
      <c r="A102" s="29">
        <v>2025.0</v>
      </c>
      <c r="B102" s="30">
        <v>1.592205637E9</v>
      </c>
      <c r="C102" s="32" t="s">
        <v>7</v>
      </c>
      <c r="D102" s="32">
        <v>137.0</v>
      </c>
      <c r="E102" s="30">
        <v>1.1621938E7</v>
      </c>
      <c r="F102" s="33" t="s">
        <v>189</v>
      </c>
      <c r="G102" s="30">
        <v>3.4149047E8</v>
      </c>
      <c r="H102" s="34">
        <v>0.214</v>
      </c>
      <c r="I102" s="15" t="s">
        <v>190</v>
      </c>
    </row>
    <row r="103">
      <c r="A103" s="29">
        <v>2024.0</v>
      </c>
      <c r="B103" s="30">
        <v>2.665121073E9</v>
      </c>
      <c r="C103" s="31">
        <f>+0.6%</f>
        <v>0.006</v>
      </c>
      <c r="D103" s="32">
        <v>219.0</v>
      </c>
      <c r="E103" s="30">
        <v>1.2169502E7</v>
      </c>
      <c r="F103" s="33" t="s">
        <v>191</v>
      </c>
      <c r="G103" s="30">
        <v>6.31645158E8</v>
      </c>
      <c r="H103" s="34">
        <v>0.237</v>
      </c>
      <c r="I103" s="15" t="s">
        <v>190</v>
      </c>
    </row>
    <row r="104">
      <c r="A104" s="29">
        <v>2023.0</v>
      </c>
      <c r="B104" s="30">
        <v>2.650185532E9</v>
      </c>
      <c r="C104" s="31">
        <f>+37.7%</f>
        <v>0.377</v>
      </c>
      <c r="D104" s="32">
        <v>188.0</v>
      </c>
      <c r="E104" s="30">
        <v>1.4096731E7</v>
      </c>
      <c r="F104" s="33" t="s">
        <v>192</v>
      </c>
      <c r="G104" s="30">
        <v>6.32664096E8</v>
      </c>
      <c r="H104" s="34">
        <v>0.239</v>
      </c>
      <c r="I104" s="15" t="s">
        <v>190</v>
      </c>
    </row>
    <row r="105">
      <c r="A105" s="29">
        <v>2022.0</v>
      </c>
      <c r="B105" s="30">
        <v>1.924001036E9</v>
      </c>
      <c r="C105" s="31">
        <f>+40.7%</f>
        <v>0.407</v>
      </c>
      <c r="D105" s="32">
        <v>189.0</v>
      </c>
      <c r="E105" s="30">
        <v>1.0179899E7</v>
      </c>
      <c r="F105" s="33" t="s">
        <v>193</v>
      </c>
      <c r="G105" s="30">
        <v>3.66081295E8</v>
      </c>
      <c r="H105" s="36">
        <v>0.19</v>
      </c>
      <c r="I105" s="15" t="s">
        <v>190</v>
      </c>
    </row>
    <row r="106">
      <c r="A106" s="29">
        <v>2021.0</v>
      </c>
      <c r="B106" s="30">
        <v>1.367417382E9</v>
      </c>
      <c r="C106" s="31">
        <f>+987.9%</f>
        <v>9.879</v>
      </c>
      <c r="D106" s="32">
        <v>159.0</v>
      </c>
      <c r="E106" s="30">
        <v>8600109.0</v>
      </c>
      <c r="F106" s="33" t="s">
        <v>194</v>
      </c>
      <c r="G106" s="30">
        <v>2.00071802E8</v>
      </c>
      <c r="H106" s="34">
        <v>0.146</v>
      </c>
      <c r="I106" s="15" t="s">
        <v>190</v>
      </c>
    </row>
    <row r="107">
      <c r="A107" s="29">
        <v>2020.0</v>
      </c>
      <c r="B107" s="30">
        <v>1.25694944E8</v>
      </c>
      <c r="C107" s="35">
        <v>-0.955</v>
      </c>
      <c r="D107" s="32">
        <v>105.0</v>
      </c>
      <c r="E107" s="30">
        <v>1197094.0</v>
      </c>
      <c r="F107" s="33" t="s">
        <v>195</v>
      </c>
      <c r="G107" s="30">
        <v>4.1338553E7</v>
      </c>
      <c r="H107" s="34">
        <v>0.329</v>
      </c>
      <c r="I107" s="15" t="s">
        <v>190</v>
      </c>
    </row>
    <row r="108">
      <c r="A108" s="29">
        <v>2019.0</v>
      </c>
      <c r="B108" s="30">
        <v>2.812620625E9</v>
      </c>
      <c r="C108" s="31">
        <f>+2.8%</f>
        <v>0.028</v>
      </c>
      <c r="D108" s="32">
        <v>342.0</v>
      </c>
      <c r="E108" s="30">
        <v>8224036.0</v>
      </c>
      <c r="F108" s="33" t="s">
        <v>196</v>
      </c>
      <c r="G108" s="30">
        <v>5.40236469E8</v>
      </c>
      <c r="H108" s="34">
        <v>0.192</v>
      </c>
      <c r="I108" s="15" t="s">
        <v>190</v>
      </c>
    </row>
    <row r="109">
      <c r="A109" s="29">
        <v>2018.0</v>
      </c>
      <c r="B109" s="30">
        <v>2.734900097E9</v>
      </c>
      <c r="C109" s="31">
        <f>+6.7%</f>
        <v>0.067</v>
      </c>
      <c r="D109" s="32">
        <v>371.0</v>
      </c>
      <c r="E109" s="30">
        <v>7371698.0</v>
      </c>
      <c r="F109" s="33" t="s">
        <v>197</v>
      </c>
      <c r="G109" s="30">
        <v>2.19193886E8</v>
      </c>
      <c r="H109" s="36">
        <v>0.08</v>
      </c>
      <c r="I109" s="15" t="s">
        <v>190</v>
      </c>
    </row>
    <row r="110">
      <c r="A110" s="29">
        <v>2017.0</v>
      </c>
      <c r="B110" s="30">
        <v>2.562244996E9</v>
      </c>
      <c r="C110" s="38">
        <v>-0.14</v>
      </c>
      <c r="D110" s="32">
        <v>337.0</v>
      </c>
      <c r="E110" s="30">
        <v>7603100.0</v>
      </c>
      <c r="F110" s="33" t="s">
        <v>198</v>
      </c>
      <c r="G110" s="30">
        <v>3.32555633E8</v>
      </c>
      <c r="H110" s="36">
        <v>0.13</v>
      </c>
      <c r="I110" s="15" t="s">
        <v>190</v>
      </c>
    </row>
    <row r="111">
      <c r="A111" s="29">
        <v>2016.0</v>
      </c>
      <c r="B111" s="30">
        <v>2.978884035E9</v>
      </c>
      <c r="C111" s="31">
        <f>+12.3%</f>
        <v>0.123</v>
      </c>
      <c r="D111" s="32">
        <v>345.0</v>
      </c>
      <c r="E111" s="30">
        <v>8634446.0</v>
      </c>
      <c r="F111" s="33" t="s">
        <v>199</v>
      </c>
      <c r="G111" s="30">
        <v>3.64578635E8</v>
      </c>
      <c r="H111" s="34">
        <v>0.122</v>
      </c>
      <c r="I111" s="15" t="s">
        <v>190</v>
      </c>
    </row>
    <row r="112">
      <c r="A112" s="29">
        <v>2015.0</v>
      </c>
      <c r="B112" s="30">
        <v>2.651981596E9</v>
      </c>
      <c r="C112" s="31">
        <f>+5.9%</f>
        <v>0.059</v>
      </c>
      <c r="D112" s="32">
        <v>318.0</v>
      </c>
      <c r="E112" s="30">
        <v>8339564.0</v>
      </c>
      <c r="F112" s="33" t="s">
        <v>200</v>
      </c>
      <c r="G112" s="30">
        <v>3.33582795E8</v>
      </c>
      <c r="H112" s="34">
        <v>0.126</v>
      </c>
      <c r="I112" s="15" t="s">
        <v>190</v>
      </c>
    </row>
    <row r="113">
      <c r="A113" s="29">
        <v>2014.0</v>
      </c>
      <c r="B113" s="30">
        <v>2.504769341E9</v>
      </c>
      <c r="C113" s="35">
        <v>-0.128</v>
      </c>
      <c r="D113" s="32">
        <v>348.0</v>
      </c>
      <c r="E113" s="30">
        <v>7197613.0</v>
      </c>
      <c r="F113" s="33" t="s">
        <v>201</v>
      </c>
      <c r="G113" s="30">
        <v>3.19794624E8</v>
      </c>
      <c r="H113" s="34">
        <v>0.128</v>
      </c>
      <c r="I113" s="15" t="s">
        <v>190</v>
      </c>
    </row>
    <row r="114">
      <c r="A114" s="29">
        <v>2013.0</v>
      </c>
      <c r="B114" s="30">
        <v>2.871305236E9</v>
      </c>
      <c r="C114" s="31">
        <f>+6.4%</f>
        <v>0.064</v>
      </c>
      <c r="D114" s="32">
        <v>331.0</v>
      </c>
      <c r="E114" s="30">
        <v>8674638.0</v>
      </c>
      <c r="F114" s="33" t="s">
        <v>202</v>
      </c>
      <c r="G114" s="30">
        <v>3.61819595E8</v>
      </c>
      <c r="H114" s="34">
        <v>0.126</v>
      </c>
      <c r="I114" s="15" t="s">
        <v>190</v>
      </c>
    </row>
    <row r="115">
      <c r="A115" s="29">
        <v>2012.0</v>
      </c>
      <c r="B115" s="30">
        <v>2.698643131E9</v>
      </c>
      <c r="C115" s="35">
        <v>-0.067</v>
      </c>
      <c r="D115" s="32">
        <v>320.0</v>
      </c>
      <c r="E115" s="30">
        <v>8433259.0</v>
      </c>
      <c r="F115" s="33" t="s">
        <v>203</v>
      </c>
      <c r="G115" s="30">
        <v>4.4437766E8</v>
      </c>
      <c r="H115" s="34">
        <v>0.165</v>
      </c>
      <c r="I115" s="15" t="s">
        <v>190</v>
      </c>
    </row>
    <row r="116">
      <c r="A116" s="29">
        <v>2011.0</v>
      </c>
      <c r="B116" s="30">
        <v>2.893037555E9</v>
      </c>
      <c r="C116" s="31">
        <f>+5.6%</f>
        <v>0.056</v>
      </c>
      <c r="D116" s="32">
        <v>326.0</v>
      </c>
      <c r="E116" s="30">
        <v>8874348.0</v>
      </c>
      <c r="F116" s="33" t="s">
        <v>204</v>
      </c>
      <c r="G116" s="30">
        <v>3.79041779E8</v>
      </c>
      <c r="H116" s="34">
        <v>0.131</v>
      </c>
      <c r="I116" s="15" t="s">
        <v>190</v>
      </c>
    </row>
    <row r="117">
      <c r="A117" s="29">
        <v>2010.0</v>
      </c>
      <c r="B117" s="30">
        <v>2.740868749E9</v>
      </c>
      <c r="C117" s="31">
        <f>+5.1%</f>
        <v>0.051</v>
      </c>
      <c r="D117" s="32">
        <v>294.0</v>
      </c>
      <c r="E117" s="30">
        <v>9322682.0</v>
      </c>
      <c r="F117" s="33" t="s">
        <v>205</v>
      </c>
      <c r="G117" s="30">
        <v>2.87501168E8</v>
      </c>
      <c r="H117" s="34">
        <v>0.105</v>
      </c>
      <c r="I117" s="15" t="s">
        <v>190</v>
      </c>
    </row>
    <row r="118">
      <c r="A118" s="29">
        <v>2009.0</v>
      </c>
      <c r="B118" s="30">
        <v>2.608231627E9</v>
      </c>
      <c r="C118" s="35">
        <v>-0.007</v>
      </c>
      <c r="D118" s="32">
        <v>288.0</v>
      </c>
      <c r="E118" s="30">
        <v>9056359.0</v>
      </c>
      <c r="F118" s="33" t="s">
        <v>206</v>
      </c>
      <c r="G118" s="30">
        <v>3.00033E8</v>
      </c>
      <c r="H118" s="34">
        <v>0.115</v>
      </c>
      <c r="I118" s="15" t="s">
        <v>190</v>
      </c>
    </row>
    <row r="119">
      <c r="A119" s="29">
        <v>2008.0</v>
      </c>
      <c r="B119" s="30">
        <v>2.62550665E9</v>
      </c>
      <c r="C119" s="35">
        <v>-0.053</v>
      </c>
      <c r="D119" s="32">
        <v>303.0</v>
      </c>
      <c r="E119" s="30">
        <v>8665038.0</v>
      </c>
      <c r="F119" s="33" t="s">
        <v>207</v>
      </c>
      <c r="G119" s="30">
        <v>5.24740642E8</v>
      </c>
      <c r="H119" s="36">
        <v>0.2</v>
      </c>
      <c r="I119" s="15" t="s">
        <v>190</v>
      </c>
    </row>
    <row r="120">
      <c r="A120" s="29">
        <v>2007.0</v>
      </c>
      <c r="B120" s="30">
        <v>2.773239687E9</v>
      </c>
      <c r="C120" s="31">
        <f>+12.8%</f>
        <v>0.128</v>
      </c>
      <c r="D120" s="32">
        <v>305.0</v>
      </c>
      <c r="E120" s="30">
        <v>9092589.0</v>
      </c>
      <c r="F120" s="33" t="s">
        <v>208</v>
      </c>
      <c r="G120" s="30">
        <v>3.15175018E8</v>
      </c>
      <c r="H120" s="34">
        <v>0.114</v>
      </c>
      <c r="I120" s="15" t="s">
        <v>190</v>
      </c>
    </row>
    <row r="121">
      <c r="A121" s="29">
        <v>2006.0</v>
      </c>
      <c r="B121" s="30">
        <v>2.457860952E9</v>
      </c>
      <c r="C121" s="31">
        <f>+8.3%</f>
        <v>0.083</v>
      </c>
      <c r="D121" s="32">
        <v>294.0</v>
      </c>
      <c r="E121" s="30">
        <v>8360071.0</v>
      </c>
      <c r="F121" s="33" t="s">
        <v>209</v>
      </c>
      <c r="G121" s="30">
        <v>4.20040241E8</v>
      </c>
      <c r="H121" s="34">
        <v>0.171</v>
      </c>
      <c r="I121" s="15" t="s">
        <v>190</v>
      </c>
    </row>
    <row r="122">
      <c r="A122" s="29">
        <v>2005.0</v>
      </c>
      <c r="B122" s="30">
        <v>2.269672737E9</v>
      </c>
      <c r="C122" s="35">
        <v>-0.053</v>
      </c>
      <c r="D122" s="32">
        <v>303.0</v>
      </c>
      <c r="E122" s="30">
        <v>7490669.0</v>
      </c>
      <c r="F122" s="33" t="s">
        <v>210</v>
      </c>
      <c r="G122" s="30">
        <v>2.06067159E8</v>
      </c>
      <c r="H122" s="34">
        <v>0.091</v>
      </c>
      <c r="I122" s="15" t="s">
        <v>190</v>
      </c>
    </row>
    <row r="123">
      <c r="A123" s="29">
        <v>2004.0</v>
      </c>
      <c r="B123" s="30">
        <v>2.397775918E9</v>
      </c>
      <c r="C123" s="35">
        <v>-0.003</v>
      </c>
      <c r="D123" s="32">
        <v>289.0</v>
      </c>
      <c r="E123" s="30">
        <v>8296802.0</v>
      </c>
      <c r="F123" s="33" t="s">
        <v>211</v>
      </c>
      <c r="G123" s="30">
        <v>3.31172565E8</v>
      </c>
      <c r="H123" s="34">
        <v>0.138</v>
      </c>
      <c r="I123" s="15" t="s">
        <v>190</v>
      </c>
    </row>
    <row r="124">
      <c r="A124" s="29">
        <v>2003.0</v>
      </c>
      <c r="B124" s="30">
        <v>2.405014618E9</v>
      </c>
      <c r="C124" s="31">
        <f>+5.6%</f>
        <v>0.056</v>
      </c>
      <c r="D124" s="32">
        <v>303.0</v>
      </c>
      <c r="E124" s="30">
        <v>7937341.0</v>
      </c>
      <c r="F124" s="33" t="s">
        <v>212</v>
      </c>
      <c r="G124" s="30">
        <v>2.96019087E8</v>
      </c>
      <c r="H124" s="34">
        <v>0.123</v>
      </c>
      <c r="I124" s="15" t="s">
        <v>190</v>
      </c>
    </row>
    <row r="125">
      <c r="A125" s="29">
        <v>2002.0</v>
      </c>
      <c r="B125" s="30">
        <v>2.277419609E9</v>
      </c>
      <c r="C125" s="31">
        <f>+3.1%</f>
        <v>0.031</v>
      </c>
      <c r="D125" s="32">
        <v>268.0</v>
      </c>
      <c r="E125" s="30">
        <v>8497834.0</v>
      </c>
      <c r="F125" s="33" t="s">
        <v>213</v>
      </c>
      <c r="G125" s="30">
        <v>2.21296435E8</v>
      </c>
      <c r="H125" s="34">
        <v>0.097</v>
      </c>
      <c r="I125" s="15" t="s">
        <v>190</v>
      </c>
    </row>
    <row r="126">
      <c r="A126" s="29">
        <v>2001.0</v>
      </c>
      <c r="B126" s="30">
        <v>2.208229913E9</v>
      </c>
      <c r="C126" s="31">
        <f>+7.1%</f>
        <v>0.071</v>
      </c>
      <c r="D126" s="32">
        <v>153.0</v>
      </c>
      <c r="E126" s="30">
        <v>1.4432875E7</v>
      </c>
      <c r="F126" s="33" t="s">
        <v>214</v>
      </c>
      <c r="G126" s="30">
        <v>2.18033801E8</v>
      </c>
      <c r="H126" s="34">
        <v>0.099</v>
      </c>
      <c r="I126" s="15" t="s">
        <v>190</v>
      </c>
    </row>
    <row r="127">
      <c r="A127" s="29">
        <v>2000.0</v>
      </c>
      <c r="B127" s="30">
        <v>2.061553338E9</v>
      </c>
      <c r="C127" s="35">
        <v>-0.072</v>
      </c>
      <c r="D127" s="32">
        <v>173.0</v>
      </c>
      <c r="E127" s="30">
        <v>1.1916493E7</v>
      </c>
      <c r="F127" s="33" t="s">
        <v>215</v>
      </c>
      <c r="G127" s="30">
        <v>1.67024171E8</v>
      </c>
      <c r="H127" s="34">
        <v>0.081</v>
      </c>
      <c r="I127" s="15" t="s">
        <v>190</v>
      </c>
    </row>
    <row r="128">
      <c r="A128" s="29">
        <v>1999.0</v>
      </c>
      <c r="B128" s="30">
        <v>2.221400986E9</v>
      </c>
      <c r="C128" s="31">
        <f>+15.9%</f>
        <v>0.159</v>
      </c>
      <c r="D128" s="32">
        <v>160.0</v>
      </c>
      <c r="E128" s="30">
        <v>1.3883756E7</v>
      </c>
      <c r="F128" s="33" t="s">
        <v>216</v>
      </c>
      <c r="G128" s="30">
        <v>2.27522683E8</v>
      </c>
      <c r="H128" s="34">
        <v>0.102</v>
      </c>
      <c r="I128" s="15" t="s">
        <v>190</v>
      </c>
    </row>
    <row r="129">
      <c r="A129" s="29">
        <v>1998.0</v>
      </c>
      <c r="B129" s="30">
        <v>1.916805245E9</v>
      </c>
      <c r="C129" s="31">
        <f>+13.2%</f>
        <v>0.132</v>
      </c>
      <c r="D129" s="32">
        <v>92.0</v>
      </c>
      <c r="E129" s="30">
        <v>2.0834839E7</v>
      </c>
      <c r="F129" s="33" t="s">
        <v>217</v>
      </c>
      <c r="G129" s="30">
        <v>1.96183057E8</v>
      </c>
      <c r="H129" s="34">
        <v>0.102</v>
      </c>
      <c r="I129" s="15" t="s">
        <v>190</v>
      </c>
    </row>
    <row r="130">
      <c r="A130" s="29">
        <v>1997.0</v>
      </c>
      <c r="B130" s="30">
        <v>1.694111911E9</v>
      </c>
      <c r="C130" s="31">
        <f>+8.8%</f>
        <v>0.088</v>
      </c>
      <c r="D130" s="32">
        <v>85.0</v>
      </c>
      <c r="E130" s="30">
        <v>1.9930728E7</v>
      </c>
      <c r="F130" s="33" t="s">
        <v>218</v>
      </c>
      <c r="G130" s="30">
        <v>2.42218193E8</v>
      </c>
      <c r="H130" s="34">
        <v>0.143</v>
      </c>
      <c r="I130" s="15" t="s">
        <v>190</v>
      </c>
    </row>
    <row r="131">
      <c r="A131" s="29">
        <v>1996.0</v>
      </c>
      <c r="B131" s="30">
        <v>1.557577325E9</v>
      </c>
      <c r="C131" s="31">
        <f>+2.1%</f>
        <v>0.021</v>
      </c>
      <c r="D131" s="32">
        <v>86.0</v>
      </c>
      <c r="E131" s="30">
        <v>1.8111364E7</v>
      </c>
      <c r="F131" s="33" t="s">
        <v>219</v>
      </c>
      <c r="G131" s="30">
        <v>2.9376965E8</v>
      </c>
      <c r="H131" s="34">
        <v>0.189</v>
      </c>
      <c r="I131" s="15" t="s">
        <v>190</v>
      </c>
    </row>
    <row r="132">
      <c r="A132" s="29">
        <v>1995.0</v>
      </c>
      <c r="B132" s="30">
        <v>1.525285193E9</v>
      </c>
      <c r="C132" s="38">
        <v>-0.07</v>
      </c>
      <c r="D132" s="32">
        <v>95.0</v>
      </c>
      <c r="E132" s="30">
        <v>1.6055633E7</v>
      </c>
      <c r="F132" s="33" t="s">
        <v>220</v>
      </c>
      <c r="G132" s="30">
        <v>1.59745415E8</v>
      </c>
      <c r="H132" s="34">
        <v>0.105</v>
      </c>
      <c r="I132" s="15" t="s">
        <v>190</v>
      </c>
    </row>
    <row r="133">
      <c r="A133" s="29">
        <v>1994.0</v>
      </c>
      <c r="B133" s="30">
        <v>1.639412521E9</v>
      </c>
      <c r="C133" s="31">
        <f>+7.9%</f>
        <v>0.079</v>
      </c>
      <c r="D133" s="32">
        <v>76.0</v>
      </c>
      <c r="E133" s="30">
        <v>2.1571217E7</v>
      </c>
      <c r="F133" s="33" t="s">
        <v>221</v>
      </c>
      <c r="G133" s="30">
        <v>2.66267332E8</v>
      </c>
      <c r="H133" s="34">
        <v>0.162</v>
      </c>
      <c r="I133" s="15" t="s">
        <v>190</v>
      </c>
    </row>
    <row r="134">
      <c r="A134" s="29">
        <v>1993.0</v>
      </c>
      <c r="B134" s="30">
        <v>1.519285865E9</v>
      </c>
      <c r="C134" s="31">
        <f>+34%</f>
        <v>0.34</v>
      </c>
      <c r="D134" s="32">
        <v>83.0</v>
      </c>
      <c r="E134" s="30">
        <v>1.8304648E7</v>
      </c>
      <c r="F134" s="33" t="s">
        <v>222</v>
      </c>
      <c r="G134" s="30">
        <v>1.62876111E8</v>
      </c>
      <c r="H134" s="34">
        <v>0.107</v>
      </c>
      <c r="I134" s="15" t="s">
        <v>190</v>
      </c>
    </row>
    <row r="135">
      <c r="A135" s="29">
        <v>1992.0</v>
      </c>
      <c r="B135" s="30">
        <v>1.133362803E9</v>
      </c>
      <c r="C135" s="35">
        <v>-0.076</v>
      </c>
      <c r="D135" s="32">
        <v>83.0</v>
      </c>
      <c r="E135" s="30">
        <v>1.3654973E7</v>
      </c>
      <c r="F135" s="33" t="s">
        <v>223</v>
      </c>
      <c r="G135" s="30">
        <v>1.03717819E8</v>
      </c>
      <c r="H135" s="34">
        <v>0.092</v>
      </c>
      <c r="I135" s="15" t="s">
        <v>190</v>
      </c>
    </row>
    <row r="136">
      <c r="A136" s="29">
        <v>1991.0</v>
      </c>
      <c r="B136" s="30">
        <v>1.226096659E9</v>
      </c>
      <c r="C136" s="35">
        <v>-0.058</v>
      </c>
      <c r="D136" s="32">
        <v>78.0</v>
      </c>
      <c r="E136" s="30">
        <v>1.5719187E7</v>
      </c>
      <c r="F136" s="33" t="s">
        <v>224</v>
      </c>
      <c r="G136" s="30">
        <v>1.95675682E8</v>
      </c>
      <c r="H136" s="36">
        <v>0.16</v>
      </c>
      <c r="I136" s="15" t="s">
        <v>190</v>
      </c>
    </row>
    <row r="137">
      <c r="A137" s="29">
        <v>1990.0</v>
      </c>
      <c r="B137" s="30">
        <v>1.301714452E9</v>
      </c>
      <c r="C137" s="35">
        <v>-0.018</v>
      </c>
      <c r="D137" s="32">
        <v>65.0</v>
      </c>
      <c r="E137" s="30">
        <v>2.0026376E7</v>
      </c>
      <c r="F137" s="33" t="s">
        <v>225</v>
      </c>
      <c r="G137" s="30">
        <v>1.52834921E8</v>
      </c>
      <c r="H137" s="34">
        <v>0.117</v>
      </c>
      <c r="I137" s="15" t="s">
        <v>190</v>
      </c>
    </row>
    <row r="138">
      <c r="A138" s="29">
        <v>1989.0</v>
      </c>
      <c r="B138" s="30">
        <v>1.325052473E9</v>
      </c>
      <c r="C138" s="31">
        <f>+19.4%</f>
        <v>0.194</v>
      </c>
      <c r="D138" s="32">
        <v>65.0</v>
      </c>
      <c r="E138" s="30">
        <v>2.0385422E7</v>
      </c>
      <c r="F138" s="33" t="s">
        <v>226</v>
      </c>
      <c r="G138" s="30">
        <v>1.66728717E8</v>
      </c>
      <c r="H138" s="34">
        <v>0.126</v>
      </c>
      <c r="I138" s="15" t="s">
        <v>190</v>
      </c>
    </row>
    <row r="139">
      <c r="A139" s="29">
        <v>1988.0</v>
      </c>
      <c r="B139" s="30">
        <v>1.109825134E9</v>
      </c>
      <c r="C139" s="31">
        <f>+9.3%</f>
        <v>0.093</v>
      </c>
      <c r="D139" s="32">
        <v>74.0</v>
      </c>
      <c r="E139" s="30">
        <v>1.4997636E7</v>
      </c>
      <c r="F139" s="33" t="s">
        <v>227</v>
      </c>
      <c r="G139" s="30">
        <v>1.28152301E8</v>
      </c>
      <c r="H139" s="34">
        <v>0.116</v>
      </c>
      <c r="I139" s="15" t="s">
        <v>190</v>
      </c>
    </row>
    <row r="140">
      <c r="A140" s="29">
        <v>1987.0</v>
      </c>
      <c r="B140" s="30">
        <v>1.015231704E9</v>
      </c>
      <c r="C140" s="31">
        <f>+11.2%</f>
        <v>0.112</v>
      </c>
      <c r="D140" s="32">
        <v>74.0</v>
      </c>
      <c r="E140" s="30">
        <v>1.3719347E7</v>
      </c>
      <c r="F140" s="33" t="s">
        <v>228</v>
      </c>
      <c r="G140" s="30">
        <v>5.4195867E7</v>
      </c>
      <c r="H140" s="34">
        <v>0.053</v>
      </c>
      <c r="I140" s="15" t="s">
        <v>190</v>
      </c>
    </row>
    <row r="141">
      <c r="A141" s="29">
        <v>1986.0</v>
      </c>
      <c r="B141" s="30">
        <v>9.1286576E8</v>
      </c>
      <c r="C141" s="35">
        <v>-0.002</v>
      </c>
      <c r="D141" s="32">
        <v>57.0</v>
      </c>
      <c r="E141" s="30">
        <v>1.6015188E7</v>
      </c>
      <c r="F141" s="33" t="s">
        <v>229</v>
      </c>
      <c r="G141" s="30">
        <v>7.9612734E7</v>
      </c>
      <c r="H141" s="34">
        <v>0.087</v>
      </c>
      <c r="I141" s="15" t="s">
        <v>190</v>
      </c>
    </row>
    <row r="142">
      <c r="A142" s="29">
        <v>1985.0</v>
      </c>
      <c r="B142" s="30">
        <v>9.15152167E8</v>
      </c>
      <c r="C142" s="31">
        <f>+1.7%</f>
        <v>0.017</v>
      </c>
      <c r="D142" s="32">
        <v>57.0</v>
      </c>
      <c r="E142" s="30">
        <v>1.6055301E7</v>
      </c>
      <c r="F142" s="33" t="s">
        <v>230</v>
      </c>
      <c r="G142" s="30">
        <v>1.5539873E8</v>
      </c>
      <c r="H142" s="36">
        <v>0.17</v>
      </c>
      <c r="I142" s="15" t="s">
        <v>190</v>
      </c>
    </row>
    <row r="143">
      <c r="A143" s="29">
        <v>1984.0</v>
      </c>
      <c r="B143" s="30">
        <v>9.00076324E8</v>
      </c>
      <c r="C143" s="31">
        <f>+5.4%</f>
        <v>0.054</v>
      </c>
      <c r="D143" s="32">
        <v>54.0</v>
      </c>
      <c r="E143" s="30">
        <v>1.666808E7</v>
      </c>
      <c r="F143" s="33" t="s">
        <v>231</v>
      </c>
      <c r="G143" s="30">
        <v>1.26975228E8</v>
      </c>
      <c r="H143" s="34">
        <v>0.141</v>
      </c>
      <c r="I143" s="15" t="s">
        <v>190</v>
      </c>
    </row>
    <row r="144">
      <c r="A144" s="29">
        <v>1983.0</v>
      </c>
      <c r="B144" s="30">
        <v>8.53761398E8</v>
      </c>
      <c r="C144" s="35">
        <v>-0.073</v>
      </c>
      <c r="D144" s="32">
        <v>56.0</v>
      </c>
      <c r="E144" s="30">
        <v>1.5245739E7</v>
      </c>
      <c r="F144" s="33" t="s">
        <v>232</v>
      </c>
      <c r="G144" s="30">
        <v>9.7346153E7</v>
      </c>
      <c r="H144" s="34">
        <v>0.114</v>
      </c>
      <c r="I144" s="15" t="s">
        <v>190</v>
      </c>
    </row>
    <row r="145">
      <c r="A145" s="29">
        <v>1982.0</v>
      </c>
      <c r="B145" s="30">
        <v>9.20708358E8</v>
      </c>
      <c r="C145" s="31">
        <f>+213.1%</f>
        <v>2.131</v>
      </c>
      <c r="D145" s="32">
        <v>41.0</v>
      </c>
      <c r="E145" s="30">
        <v>2.2456301E7</v>
      </c>
      <c r="F145" s="33" t="s">
        <v>233</v>
      </c>
      <c r="G145" s="30">
        <v>1.90307272E8</v>
      </c>
      <c r="H145" s="34">
        <v>0.207</v>
      </c>
      <c r="I145" s="15" t="s">
        <v>190</v>
      </c>
    </row>
    <row r="146">
      <c r="A146" s="29">
        <v>1981.0</v>
      </c>
      <c r="B146" s="30">
        <v>2.94043079E8</v>
      </c>
      <c r="C146" s="35">
        <v>-0.328</v>
      </c>
      <c r="D146" s="32">
        <v>15.0</v>
      </c>
      <c r="E146" s="30">
        <v>1.9602871E7</v>
      </c>
      <c r="F146" s="33" t="s">
        <v>234</v>
      </c>
      <c r="G146" s="30">
        <v>7.0921239E7</v>
      </c>
      <c r="H146" s="34">
        <v>0.241</v>
      </c>
      <c r="I146" s="15" t="s">
        <v>190</v>
      </c>
    </row>
    <row r="147">
      <c r="A147" s="29">
        <v>1980.0</v>
      </c>
      <c r="B147" s="30">
        <v>4.37331151E8</v>
      </c>
      <c r="C147" s="31">
        <f>+11.7%</f>
        <v>0.117</v>
      </c>
      <c r="D147" s="32">
        <v>19.0</v>
      </c>
      <c r="E147" s="30">
        <v>2.3017429E7</v>
      </c>
      <c r="F147" s="33" t="s">
        <v>235</v>
      </c>
      <c r="G147" s="30">
        <v>1.43447675E8</v>
      </c>
      <c r="H147" s="34">
        <v>0.328</v>
      </c>
      <c r="I147" s="15" t="s">
        <v>190</v>
      </c>
    </row>
    <row r="148">
      <c r="A148" s="29">
        <v>1979.0</v>
      </c>
      <c r="B148" s="30">
        <v>3.91603659E8</v>
      </c>
      <c r="C148" s="31">
        <f>+98.5%</f>
        <v>0.985</v>
      </c>
      <c r="D148" s="32">
        <v>12.0</v>
      </c>
      <c r="E148" s="30">
        <v>3.2633638E7</v>
      </c>
      <c r="F148" s="33" t="s">
        <v>236</v>
      </c>
      <c r="G148" s="30">
        <v>8.6432E7</v>
      </c>
      <c r="H148" s="34">
        <v>0.221</v>
      </c>
      <c r="I148" s="15" t="s">
        <v>190</v>
      </c>
    </row>
    <row r="149">
      <c r="A149" s="29">
        <v>1978.0</v>
      </c>
      <c r="B149" s="30">
        <v>1.97262064E8</v>
      </c>
      <c r="C149" s="31">
        <f>+27.8%</f>
        <v>0.278</v>
      </c>
      <c r="D149" s="32">
        <v>2.0</v>
      </c>
      <c r="E149" s="30">
        <v>9.8631032E7</v>
      </c>
      <c r="F149" s="33" t="s">
        <v>237</v>
      </c>
      <c r="G149" s="30">
        <v>1.20091123E8</v>
      </c>
      <c r="H149" s="34">
        <v>0.609</v>
      </c>
      <c r="I149" s="15" t="s">
        <v>190</v>
      </c>
    </row>
    <row r="150">
      <c r="A150" s="29">
        <v>1977.0</v>
      </c>
      <c r="B150" s="30">
        <v>1.54336341E8</v>
      </c>
      <c r="C150" s="31">
        <f>+181.2%</f>
        <v>1.812</v>
      </c>
      <c r="D150" s="32">
        <v>2.0</v>
      </c>
      <c r="E150" s="30">
        <v>7.716817E7</v>
      </c>
      <c r="F150" s="33" t="s">
        <v>238</v>
      </c>
      <c r="G150" s="30">
        <v>1.09023094E8</v>
      </c>
      <c r="H150" s="34">
        <v>0.706</v>
      </c>
      <c r="I150" s="15" t="s">
        <v>190</v>
      </c>
    </row>
    <row r="151">
      <c r="A151" s="29">
        <v>1976.0</v>
      </c>
      <c r="B151" s="30">
        <v>5.4888011E7</v>
      </c>
      <c r="C151" s="31">
        <f>+18.9%</f>
        <v>0.189</v>
      </c>
      <c r="D151" s="32">
        <v>1.0</v>
      </c>
      <c r="E151" s="30">
        <v>5.4888011E7</v>
      </c>
      <c r="F151" s="33" t="s">
        <v>239</v>
      </c>
      <c r="G151" s="30">
        <v>5.4888011E7</v>
      </c>
      <c r="H151" s="36">
        <v>1.0</v>
      </c>
      <c r="I151" s="15" t="s">
        <v>190</v>
      </c>
    </row>
    <row r="152">
      <c r="A152" s="29">
        <v>1975.0</v>
      </c>
      <c r="B152" s="30">
        <v>4.615949E7</v>
      </c>
      <c r="C152" s="32" t="s">
        <v>7</v>
      </c>
      <c r="D152" s="32">
        <v>1.0</v>
      </c>
      <c r="E152" s="30">
        <v>4.615949E7</v>
      </c>
      <c r="F152" s="33" t="s">
        <v>240</v>
      </c>
      <c r="G152" s="30">
        <v>4.615949E7</v>
      </c>
      <c r="H152" s="36">
        <v>1.0</v>
      </c>
      <c r="I152" s="15" t="s">
        <v>190</v>
      </c>
    </row>
    <row r="153">
      <c r="A153" s="29">
        <v>2024.0</v>
      </c>
      <c r="B153" s="30">
        <v>2.349086049E9</v>
      </c>
      <c r="C153" s="31">
        <f>+26.5%</f>
        <v>0.265</v>
      </c>
      <c r="D153" s="32">
        <v>267.0</v>
      </c>
      <c r="E153" s="30">
        <v>8798075.0</v>
      </c>
      <c r="F153" s="33" t="s">
        <v>241</v>
      </c>
      <c r="G153" s="30">
        <v>4.32943285E8</v>
      </c>
      <c r="H153" s="34">
        <v>0.184</v>
      </c>
      <c r="I153" s="15" t="s">
        <v>242</v>
      </c>
    </row>
    <row r="154">
      <c r="A154" s="29">
        <v>2023.0</v>
      </c>
      <c r="B154" s="30">
        <v>1.857165533E9</v>
      </c>
      <c r="C154" s="31">
        <f>+4.6%</f>
        <v>0.046</v>
      </c>
      <c r="D154" s="32">
        <v>244.0</v>
      </c>
      <c r="E154" s="30">
        <v>7611334.0</v>
      </c>
      <c r="F154" s="33" t="s">
        <v>243</v>
      </c>
      <c r="G154" s="30">
        <v>1.79817571E8</v>
      </c>
      <c r="H154" s="34">
        <v>0.097</v>
      </c>
      <c r="I154" s="15" t="s">
        <v>242</v>
      </c>
    </row>
    <row r="155">
      <c r="A155" s="29">
        <v>2022.0</v>
      </c>
      <c r="B155" s="30">
        <v>1.774934972E9</v>
      </c>
      <c r="C155" s="35">
        <v>-0.142</v>
      </c>
      <c r="D155" s="32">
        <v>207.0</v>
      </c>
      <c r="E155" s="30">
        <v>8574565.0</v>
      </c>
      <c r="F155" s="33" t="s">
        <v>244</v>
      </c>
      <c r="G155" s="30">
        <v>4.36499646E8</v>
      </c>
      <c r="H155" s="34">
        <v>0.246</v>
      </c>
      <c r="I155" s="15" t="s">
        <v>242</v>
      </c>
    </row>
    <row r="156">
      <c r="A156" s="29">
        <v>2021.0</v>
      </c>
      <c r="B156" s="30">
        <v>2.068019328E9</v>
      </c>
      <c r="C156" s="31">
        <f>+967.1%</f>
        <v>9.671</v>
      </c>
      <c r="D156" s="32">
        <v>177.0</v>
      </c>
      <c r="E156" s="30">
        <v>1.1683725E7</v>
      </c>
      <c r="F156" s="33" t="s">
        <v>245</v>
      </c>
      <c r="G156" s="30">
        <v>5.72984769E8</v>
      </c>
      <c r="H156" s="34">
        <v>0.277</v>
      </c>
      <c r="I156" s="15" t="s">
        <v>242</v>
      </c>
    </row>
    <row r="157">
      <c r="A157" s="29">
        <v>2020.0</v>
      </c>
      <c r="B157" s="30">
        <v>1.93792471E8</v>
      </c>
      <c r="C157" s="35">
        <v>-0.933</v>
      </c>
      <c r="D157" s="32">
        <v>150.0</v>
      </c>
      <c r="E157" s="30">
        <v>1291949.0</v>
      </c>
      <c r="F157" s="33" t="s">
        <v>246</v>
      </c>
      <c r="G157" s="30">
        <v>3.233428E7</v>
      </c>
      <c r="H157" s="34">
        <v>0.167</v>
      </c>
      <c r="I157" s="15" t="s">
        <v>242</v>
      </c>
    </row>
    <row r="158">
      <c r="A158" s="29">
        <v>2019.0</v>
      </c>
      <c r="B158" s="30">
        <v>2.889014254E9</v>
      </c>
      <c r="C158" s="35">
        <v>-0.021</v>
      </c>
      <c r="D158" s="32">
        <v>350.0</v>
      </c>
      <c r="E158" s="30">
        <v>8254326.0</v>
      </c>
      <c r="F158" s="33" t="s">
        <v>247</v>
      </c>
      <c r="G158" s="30">
        <v>4.30144682E8</v>
      </c>
      <c r="H158" s="34">
        <v>0.149</v>
      </c>
      <c r="I158" s="15" t="s">
        <v>242</v>
      </c>
    </row>
    <row r="159">
      <c r="A159" s="29">
        <v>2018.0</v>
      </c>
      <c r="B159" s="30">
        <v>2.951468125E9</v>
      </c>
      <c r="C159" s="31">
        <f>+1.9%</f>
        <v>0.019</v>
      </c>
      <c r="D159" s="32">
        <v>384.0</v>
      </c>
      <c r="E159" s="30">
        <v>7686114.0</v>
      </c>
      <c r="F159" s="33" t="s">
        <v>248</v>
      </c>
      <c r="G159" s="30">
        <v>2.6628041E8</v>
      </c>
      <c r="H159" s="36">
        <v>0.09</v>
      </c>
      <c r="I159" s="15" t="s">
        <v>242</v>
      </c>
    </row>
    <row r="160">
      <c r="A160" s="29">
        <v>2017.0</v>
      </c>
      <c r="B160" s="30">
        <v>2.895259444E9</v>
      </c>
      <c r="C160" s="31">
        <f>+3.1%</f>
        <v>0.031</v>
      </c>
      <c r="D160" s="32">
        <v>348.0</v>
      </c>
      <c r="E160" s="30">
        <v>8319711.0</v>
      </c>
      <c r="F160" s="33" t="s">
        <v>249</v>
      </c>
      <c r="G160" s="30">
        <v>5.17218368E8</v>
      </c>
      <c r="H160" s="34">
        <v>0.179</v>
      </c>
      <c r="I160" s="15" t="s">
        <v>242</v>
      </c>
    </row>
    <row r="161">
      <c r="A161" s="29">
        <v>2016.0</v>
      </c>
      <c r="B161" s="30">
        <v>2.807999318E9</v>
      </c>
      <c r="C161" s="35">
        <v>-0.035</v>
      </c>
      <c r="D161" s="32">
        <v>360.0</v>
      </c>
      <c r="E161" s="30">
        <v>7799998.0</v>
      </c>
      <c r="F161" s="33" t="s">
        <v>250</v>
      </c>
      <c r="G161" s="30">
        <v>4.0823585E8</v>
      </c>
      <c r="H161" s="34">
        <v>0.145</v>
      </c>
      <c r="I161" s="15" t="s">
        <v>242</v>
      </c>
    </row>
    <row r="162">
      <c r="A162" s="29">
        <v>2015.0</v>
      </c>
      <c r="B162" s="30">
        <v>2.910583148E9</v>
      </c>
      <c r="C162" s="31">
        <f>+10.8%</f>
        <v>0.108</v>
      </c>
      <c r="D162" s="32">
        <v>342.0</v>
      </c>
      <c r="E162" s="30">
        <v>8510477.0</v>
      </c>
      <c r="F162" s="33" t="s">
        <v>251</v>
      </c>
      <c r="G162" s="30">
        <v>6.51967269E8</v>
      </c>
      <c r="H162" s="34">
        <v>0.224</v>
      </c>
      <c r="I162" s="15" t="s">
        <v>242</v>
      </c>
    </row>
    <row r="163">
      <c r="A163" s="29">
        <v>2014.0</v>
      </c>
      <c r="B163" s="30">
        <v>2.627358905E9</v>
      </c>
      <c r="C163" s="35">
        <v>-0.045</v>
      </c>
      <c r="D163" s="32">
        <v>340.0</v>
      </c>
      <c r="E163" s="30">
        <v>7727526.0</v>
      </c>
      <c r="F163" s="33" t="s">
        <v>252</v>
      </c>
      <c r="G163" s="30">
        <v>3.13282914E8</v>
      </c>
      <c r="H163" s="34">
        <v>0.119</v>
      </c>
      <c r="I163" s="15" t="s">
        <v>242</v>
      </c>
    </row>
    <row r="164">
      <c r="A164" s="29">
        <v>2013.0</v>
      </c>
      <c r="B164" s="30">
        <v>2.750905225E9</v>
      </c>
      <c r="C164" s="31">
        <f>+0.9%</f>
        <v>0.009</v>
      </c>
      <c r="D164" s="32">
        <v>336.0</v>
      </c>
      <c r="E164" s="30">
        <v>8187217.0</v>
      </c>
      <c r="F164" s="33" t="s">
        <v>253</v>
      </c>
      <c r="G164" s="30">
        <v>3.95526705E8</v>
      </c>
      <c r="H164" s="34">
        <v>0.144</v>
      </c>
      <c r="I164" s="15" t="s">
        <v>242</v>
      </c>
    </row>
    <row r="165">
      <c r="A165" s="29">
        <v>2012.0</v>
      </c>
      <c r="B165" s="30">
        <v>2.725665006E9</v>
      </c>
      <c r="C165" s="31">
        <f>+16.8%</f>
        <v>0.168</v>
      </c>
      <c r="D165" s="32">
        <v>323.0</v>
      </c>
      <c r="E165" s="30">
        <v>8438591.0</v>
      </c>
      <c r="F165" s="33" t="s">
        <v>254</v>
      </c>
      <c r="G165" s="30">
        <v>2.90904271E8</v>
      </c>
      <c r="H165" s="34">
        <v>0.107</v>
      </c>
      <c r="I165" s="15" t="s">
        <v>242</v>
      </c>
    </row>
    <row r="166">
      <c r="A166" s="29">
        <v>2011.0</v>
      </c>
      <c r="B166" s="30">
        <v>2.333203248E9</v>
      </c>
      <c r="C166" s="35">
        <v>-0.056</v>
      </c>
      <c r="D166" s="32">
        <v>306.0</v>
      </c>
      <c r="E166" s="30">
        <v>7624847.0</v>
      </c>
      <c r="F166" s="33" t="s">
        <v>255</v>
      </c>
      <c r="G166" s="30">
        <v>2.74841954E8</v>
      </c>
      <c r="H166" s="34">
        <v>0.118</v>
      </c>
      <c r="I166" s="15" t="s">
        <v>242</v>
      </c>
    </row>
    <row r="167">
      <c r="A167" s="29">
        <v>2010.0</v>
      </c>
      <c r="B167" s="30">
        <v>2.471425964E9</v>
      </c>
      <c r="C167" s="35">
        <v>-0.101</v>
      </c>
      <c r="D167" s="32">
        <v>293.0</v>
      </c>
      <c r="E167" s="30">
        <v>8434900.0</v>
      </c>
      <c r="F167" s="33" t="s">
        <v>256</v>
      </c>
      <c r="G167" s="30">
        <v>2.80230127E8</v>
      </c>
      <c r="H167" s="34">
        <v>0.113</v>
      </c>
      <c r="I167" s="15" t="s">
        <v>242</v>
      </c>
    </row>
    <row r="168">
      <c r="A168" s="29">
        <v>2009.0</v>
      </c>
      <c r="B168" s="30">
        <v>2.749745355E9</v>
      </c>
      <c r="C168" s="31">
        <f>+19.4%</f>
        <v>0.194</v>
      </c>
      <c r="D168" s="32">
        <v>292.0</v>
      </c>
      <c r="E168" s="30">
        <v>9416936.0</v>
      </c>
      <c r="F168" s="33" t="s">
        <v>257</v>
      </c>
      <c r="G168" s="30">
        <v>2.84512392E8</v>
      </c>
      <c r="H168" s="34">
        <v>0.104</v>
      </c>
      <c r="I168" s="15" t="s">
        <v>242</v>
      </c>
    </row>
    <row r="169">
      <c r="A169" s="29">
        <v>2008.0</v>
      </c>
      <c r="B169" s="30">
        <v>2.303182624E9</v>
      </c>
      <c r="C169" s="31">
        <f>+1.7%</f>
        <v>0.017</v>
      </c>
      <c r="D169" s="32">
        <v>303.0</v>
      </c>
      <c r="E169" s="30">
        <v>7601262.0</v>
      </c>
      <c r="F169" s="33" t="s">
        <v>258</v>
      </c>
      <c r="G169" s="30">
        <v>1.75687934E8</v>
      </c>
      <c r="H169" s="34">
        <v>0.076</v>
      </c>
      <c r="I169" s="15" t="s">
        <v>242</v>
      </c>
    </row>
    <row r="170">
      <c r="A170" s="29">
        <v>2007.0</v>
      </c>
      <c r="B170" s="30">
        <v>2.264038036E9</v>
      </c>
      <c r="C170" s="35">
        <v>-0.022</v>
      </c>
      <c r="D170" s="32">
        <v>328.0</v>
      </c>
      <c r="E170" s="30">
        <v>6902554.0</v>
      </c>
      <c r="F170" s="33" t="s">
        <v>259</v>
      </c>
      <c r="G170" s="30">
        <v>1.99345154E8</v>
      </c>
      <c r="H170" s="34">
        <v>0.088</v>
      </c>
      <c r="I170" s="15" t="s">
        <v>242</v>
      </c>
    </row>
    <row r="171">
      <c r="A171" s="29">
        <v>2006.0</v>
      </c>
      <c r="B171" s="30">
        <v>2.31450142E9</v>
      </c>
      <c r="C171" s="31">
        <f>+0.3%</f>
        <v>0.003</v>
      </c>
      <c r="D171" s="32">
        <v>317.0</v>
      </c>
      <c r="E171" s="30">
        <v>7301266.0</v>
      </c>
      <c r="F171" s="33" t="s">
        <v>260</v>
      </c>
      <c r="G171" s="30">
        <v>1.75967627E8</v>
      </c>
      <c r="H171" s="34">
        <v>0.076</v>
      </c>
      <c r="I171" s="15" t="s">
        <v>242</v>
      </c>
    </row>
    <row r="172">
      <c r="A172" s="29">
        <v>2005.0</v>
      </c>
      <c r="B172" s="30">
        <v>2.30770436E9</v>
      </c>
      <c r="C172" s="32" t="s">
        <v>106</v>
      </c>
      <c r="D172" s="32">
        <v>305.0</v>
      </c>
      <c r="E172" s="30">
        <v>7566243.0</v>
      </c>
      <c r="F172" s="33" t="s">
        <v>261</v>
      </c>
      <c r="G172" s="30">
        <v>2.7328118E8</v>
      </c>
      <c r="H172" s="34">
        <v>0.118</v>
      </c>
      <c r="I172" s="15" t="s">
        <v>242</v>
      </c>
    </row>
    <row r="173">
      <c r="A173" s="29">
        <v>2004.0</v>
      </c>
      <c r="B173" s="30">
        <v>2.305705307E9</v>
      </c>
      <c r="C173" s="35">
        <v>-0.048</v>
      </c>
      <c r="D173" s="32">
        <v>304.0</v>
      </c>
      <c r="E173" s="30">
        <v>7584556.0</v>
      </c>
      <c r="F173" s="33" t="s">
        <v>262</v>
      </c>
      <c r="G173" s="30">
        <v>2.48939765E8</v>
      </c>
      <c r="H173" s="34">
        <v>0.108</v>
      </c>
      <c r="I173" s="15" t="s">
        <v>242</v>
      </c>
    </row>
    <row r="174">
      <c r="A174" s="29">
        <v>2003.0</v>
      </c>
      <c r="B174" s="30">
        <v>2.42062247E9</v>
      </c>
      <c r="C174" s="31">
        <f>+2.7%</f>
        <v>0.027</v>
      </c>
      <c r="D174" s="32">
        <v>303.0</v>
      </c>
      <c r="E174" s="30">
        <v>7988853.0</v>
      </c>
      <c r="F174" s="33" t="s">
        <v>263</v>
      </c>
      <c r="G174" s="30">
        <v>2.49445927E8</v>
      </c>
      <c r="H174" s="34">
        <v>0.103</v>
      </c>
      <c r="I174" s="15" t="s">
        <v>242</v>
      </c>
    </row>
    <row r="175">
      <c r="A175" s="29">
        <v>2002.0</v>
      </c>
      <c r="B175" s="30">
        <v>2.356894762E9</v>
      </c>
      <c r="C175" s="31">
        <f>+9.9%</f>
        <v>0.099</v>
      </c>
      <c r="D175" s="32">
        <v>313.0</v>
      </c>
      <c r="E175" s="30">
        <v>7530015.0</v>
      </c>
      <c r="F175" s="33" t="s">
        <v>264</v>
      </c>
      <c r="G175" s="30">
        <v>2.43867371E8</v>
      </c>
      <c r="H175" s="34">
        <v>0.104</v>
      </c>
      <c r="I175" s="15" t="s">
        <v>242</v>
      </c>
    </row>
    <row r="176">
      <c r="A176" s="29">
        <v>2001.0</v>
      </c>
      <c r="B176" s="30">
        <v>2.144321984E9</v>
      </c>
      <c r="C176" s="31">
        <f>+7.5%</f>
        <v>0.075</v>
      </c>
      <c r="D176" s="32">
        <v>176.0</v>
      </c>
      <c r="E176" s="30">
        <v>1.2183647E7</v>
      </c>
      <c r="F176" s="33" t="s">
        <v>265</v>
      </c>
      <c r="G176" s="30">
        <v>2.88516414E8</v>
      </c>
      <c r="H176" s="34">
        <v>0.134</v>
      </c>
      <c r="I176" s="15" t="s">
        <v>242</v>
      </c>
    </row>
    <row r="177">
      <c r="A177" s="29">
        <v>2000.0</v>
      </c>
      <c r="B177" s="30">
        <v>1.994362873E9</v>
      </c>
      <c r="C177" s="31">
        <f>+11.2%</f>
        <v>0.112</v>
      </c>
      <c r="D177" s="32">
        <v>179.0</v>
      </c>
      <c r="E177" s="30">
        <v>1.1141692E7</v>
      </c>
      <c r="F177" s="33" t="s">
        <v>266</v>
      </c>
      <c r="G177" s="30">
        <v>2.51628905E8</v>
      </c>
      <c r="H177" s="34">
        <v>0.126</v>
      </c>
      <c r="I177" s="15" t="s">
        <v>242</v>
      </c>
    </row>
    <row r="178">
      <c r="A178" s="29">
        <v>1999.0</v>
      </c>
      <c r="B178" s="30">
        <v>1.7941952E9</v>
      </c>
      <c r="C178" s="31">
        <f>+9.4%</f>
        <v>0.094</v>
      </c>
      <c r="D178" s="32">
        <v>175.0</v>
      </c>
      <c r="E178" s="30">
        <v>1.0252544E7</v>
      </c>
      <c r="F178" s="33" t="s">
        <v>267</v>
      </c>
      <c r="G178" s="30">
        <v>1.99843054E8</v>
      </c>
      <c r="H178" s="34">
        <v>0.111</v>
      </c>
      <c r="I178" s="15" t="s">
        <v>242</v>
      </c>
    </row>
    <row r="179">
      <c r="A179" s="29">
        <v>1998.0</v>
      </c>
      <c r="B179" s="30">
        <v>1.640336114E9</v>
      </c>
      <c r="C179" s="31">
        <f>+8%</f>
        <v>0.08</v>
      </c>
      <c r="D179" s="32">
        <v>110.0</v>
      </c>
      <c r="E179" s="30">
        <v>1.4912146E7</v>
      </c>
      <c r="F179" s="33" t="s">
        <v>268</v>
      </c>
      <c r="G179" s="30">
        <v>1.47895431E8</v>
      </c>
      <c r="H179" s="36">
        <v>0.09</v>
      </c>
      <c r="I179" s="15" t="s">
        <v>242</v>
      </c>
    </row>
    <row r="180">
      <c r="A180" s="29">
        <v>1997.0</v>
      </c>
      <c r="B180" s="30">
        <v>1.519045557E9</v>
      </c>
      <c r="C180" s="31">
        <f>+12.1%</f>
        <v>0.121</v>
      </c>
      <c r="D180" s="32">
        <v>97.0</v>
      </c>
      <c r="E180" s="30">
        <v>1.5660263E7</v>
      </c>
      <c r="F180" s="33" t="s">
        <v>269</v>
      </c>
      <c r="G180" s="30">
        <v>1.12594173E8</v>
      </c>
      <c r="H180" s="34">
        <v>0.074</v>
      </c>
      <c r="I180" s="15" t="s">
        <v>242</v>
      </c>
    </row>
    <row r="181">
      <c r="A181" s="29">
        <v>1996.0</v>
      </c>
      <c r="B181" s="30">
        <v>1.354574754E9</v>
      </c>
      <c r="C181" s="31">
        <f>+4.4%</f>
        <v>0.044</v>
      </c>
      <c r="D181" s="32">
        <v>101.0</v>
      </c>
      <c r="E181" s="30">
        <v>1.3411631E7</v>
      </c>
      <c r="F181" s="33" t="s">
        <v>270</v>
      </c>
      <c r="G181" s="30">
        <v>1.25502048E8</v>
      </c>
      <c r="H181" s="34">
        <v>0.093</v>
      </c>
      <c r="I181" s="15" t="s">
        <v>242</v>
      </c>
    </row>
    <row r="182">
      <c r="A182" s="29">
        <v>1995.0</v>
      </c>
      <c r="B182" s="30">
        <v>1.296866197E9</v>
      </c>
      <c r="C182" s="31">
        <f>+5.8%</f>
        <v>0.058</v>
      </c>
      <c r="D182" s="32">
        <v>93.0</v>
      </c>
      <c r="E182" s="30">
        <v>1.3944797E7</v>
      </c>
      <c r="F182" s="33" t="s">
        <v>271</v>
      </c>
      <c r="G182" s="30">
        <v>1.46198683E8</v>
      </c>
      <c r="H182" s="34">
        <v>0.113</v>
      </c>
      <c r="I182" s="15" t="s">
        <v>242</v>
      </c>
    </row>
    <row r="183">
      <c r="A183" s="29">
        <v>1994.0</v>
      </c>
      <c r="B183" s="30">
        <v>1.225573256E9</v>
      </c>
      <c r="C183" s="31">
        <f>+7.3%</f>
        <v>0.073</v>
      </c>
      <c r="D183" s="32">
        <v>90.0</v>
      </c>
      <c r="E183" s="30">
        <v>1.361748E7</v>
      </c>
      <c r="F183" s="33" t="s">
        <v>272</v>
      </c>
      <c r="G183" s="30">
        <v>1.32242452E8</v>
      </c>
      <c r="H183" s="34">
        <v>0.108</v>
      </c>
      <c r="I183" s="15" t="s">
        <v>242</v>
      </c>
    </row>
    <row r="184">
      <c r="A184" s="29">
        <v>1993.0</v>
      </c>
      <c r="B184" s="30">
        <v>1.141787507E9</v>
      </c>
      <c r="C184" s="35">
        <v>-0.031</v>
      </c>
      <c r="D184" s="32">
        <v>97.0</v>
      </c>
      <c r="E184" s="30">
        <v>1.1771005E7</v>
      </c>
      <c r="F184" s="33" t="s">
        <v>273</v>
      </c>
      <c r="G184" s="30">
        <v>1.09086478E8</v>
      </c>
      <c r="H184" s="34">
        <v>0.096</v>
      </c>
      <c r="I184" s="15" t="s">
        <v>242</v>
      </c>
    </row>
    <row r="185">
      <c r="A185" s="29">
        <v>1992.0</v>
      </c>
      <c r="B185" s="30">
        <v>1.178297168E9</v>
      </c>
      <c r="C185" s="31">
        <f>+17.7%</f>
        <v>0.177</v>
      </c>
      <c r="D185" s="32">
        <v>75.0</v>
      </c>
      <c r="E185" s="30">
        <v>1.5710628E7</v>
      </c>
      <c r="F185" s="33" t="s">
        <v>274</v>
      </c>
      <c r="G185" s="30">
        <v>1.36206365E8</v>
      </c>
      <c r="H185" s="34">
        <v>0.116</v>
      </c>
      <c r="I185" s="15" t="s">
        <v>242</v>
      </c>
    </row>
    <row r="186">
      <c r="A186" s="29">
        <v>1991.0</v>
      </c>
      <c r="B186" s="30">
        <v>1.000995777E9</v>
      </c>
      <c r="C186" s="38">
        <v>-0.03</v>
      </c>
      <c r="D186" s="32">
        <v>90.0</v>
      </c>
      <c r="E186" s="30">
        <v>1.1122175E7</v>
      </c>
      <c r="F186" s="33" t="s">
        <v>275</v>
      </c>
      <c r="G186" s="30">
        <v>9.062841E7</v>
      </c>
      <c r="H186" s="36">
        <v>0.09</v>
      </c>
      <c r="I186" s="15" t="s">
        <v>242</v>
      </c>
    </row>
    <row r="187">
      <c r="A187" s="29">
        <v>1990.0</v>
      </c>
      <c r="B187" s="30">
        <v>1.031765861E9</v>
      </c>
      <c r="C187" s="31">
        <f>+11.9%</f>
        <v>0.119</v>
      </c>
      <c r="D187" s="32">
        <v>81.0</v>
      </c>
      <c r="E187" s="30">
        <v>1.273785E7</v>
      </c>
      <c r="F187" s="33" t="s">
        <v>276</v>
      </c>
      <c r="G187" s="30">
        <v>1.43592523E8</v>
      </c>
      <c r="H187" s="34">
        <v>0.139</v>
      </c>
      <c r="I187" s="15" t="s">
        <v>242</v>
      </c>
    </row>
    <row r="188">
      <c r="A188" s="29">
        <v>1989.0</v>
      </c>
      <c r="B188" s="30">
        <v>9.22023654E8</v>
      </c>
      <c r="C188" s="31">
        <f>+19.3%</f>
        <v>0.193</v>
      </c>
      <c r="D188" s="32">
        <v>82.0</v>
      </c>
      <c r="E188" s="30">
        <v>1.124419E7</v>
      </c>
      <c r="F188" s="33" t="s">
        <v>277</v>
      </c>
      <c r="G188" s="30">
        <v>1.13455801E8</v>
      </c>
      <c r="H188" s="34">
        <v>0.123</v>
      </c>
      <c r="I188" s="15" t="s">
        <v>242</v>
      </c>
    </row>
    <row r="189">
      <c r="A189" s="29">
        <v>1988.0</v>
      </c>
      <c r="B189" s="30">
        <v>7.72609952E8</v>
      </c>
      <c r="C189" s="35">
        <v>-0.024</v>
      </c>
      <c r="D189" s="32">
        <v>79.0</v>
      </c>
      <c r="E189" s="30">
        <v>9779872.0</v>
      </c>
      <c r="F189" s="33" t="s">
        <v>278</v>
      </c>
      <c r="G189" s="30">
        <v>5.2747095E7</v>
      </c>
      <c r="H189" s="34">
        <v>0.068</v>
      </c>
      <c r="I189" s="15" t="s">
        <v>242</v>
      </c>
    </row>
    <row r="190">
      <c r="A190" s="29">
        <v>1987.0</v>
      </c>
      <c r="B190" s="30">
        <v>7.91219513E8</v>
      </c>
      <c r="C190" s="31">
        <f>+1.5%</f>
        <v>0.015</v>
      </c>
      <c r="D190" s="32">
        <v>80.0</v>
      </c>
      <c r="E190" s="30">
        <v>9890243.0</v>
      </c>
      <c r="F190" s="33" t="s">
        <v>279</v>
      </c>
      <c r="G190" s="30">
        <v>1.05617098E8</v>
      </c>
      <c r="H190" s="34">
        <v>0.134</v>
      </c>
      <c r="I190" s="15" t="s">
        <v>242</v>
      </c>
    </row>
    <row r="191">
      <c r="A191" s="29">
        <v>1986.0</v>
      </c>
      <c r="B191" s="30">
        <v>7.79485933E8</v>
      </c>
      <c r="C191" s="31">
        <f>+20.4%</f>
        <v>0.204</v>
      </c>
      <c r="D191" s="32">
        <v>68.0</v>
      </c>
      <c r="E191" s="30">
        <v>1.1463028E7</v>
      </c>
      <c r="F191" s="33" t="s">
        <v>280</v>
      </c>
      <c r="G191" s="30">
        <v>1.08751297E8</v>
      </c>
      <c r="H191" s="36">
        <v>0.14</v>
      </c>
      <c r="I191" s="15" t="s">
        <v>242</v>
      </c>
    </row>
    <row r="192">
      <c r="A192" s="29">
        <v>1985.0</v>
      </c>
      <c r="B192" s="30">
        <v>6.47574546E8</v>
      </c>
      <c r="C192" s="31">
        <f>+1.4%</f>
        <v>0.014</v>
      </c>
      <c r="D192" s="32">
        <v>64.0</v>
      </c>
      <c r="E192" s="30">
        <v>1.0118352E7</v>
      </c>
      <c r="F192" s="33" t="s">
        <v>281</v>
      </c>
      <c r="G192" s="30">
        <v>8.9102648E7</v>
      </c>
      <c r="H192" s="34">
        <v>0.138</v>
      </c>
      <c r="I192" s="15" t="s">
        <v>242</v>
      </c>
    </row>
    <row r="193">
      <c r="A193" s="29">
        <v>1984.0</v>
      </c>
      <c r="B193" s="30">
        <v>6.38917311E8</v>
      </c>
      <c r="C193" s="31">
        <f>+21.1%</f>
        <v>0.211</v>
      </c>
      <c r="D193" s="32">
        <v>64.0</v>
      </c>
      <c r="E193" s="30">
        <v>9983082.0</v>
      </c>
      <c r="F193" s="33" t="s">
        <v>282</v>
      </c>
      <c r="G193" s="30">
        <v>7.7455497E7</v>
      </c>
      <c r="H193" s="34">
        <v>0.121</v>
      </c>
      <c r="I193" s="15" t="s">
        <v>242</v>
      </c>
    </row>
    <row r="194">
      <c r="A194" s="29">
        <v>1983.0</v>
      </c>
      <c r="B194" s="30">
        <v>5.2778423E8</v>
      </c>
      <c r="C194" s="31">
        <f>+4.9%</f>
        <v>0.049</v>
      </c>
      <c r="D194" s="32">
        <v>51.0</v>
      </c>
      <c r="E194" s="30">
        <v>1.034871E7</v>
      </c>
      <c r="F194" s="33" t="s">
        <v>283</v>
      </c>
      <c r="G194" s="30">
        <v>5.5432841E7</v>
      </c>
      <c r="H194" s="34">
        <v>0.105</v>
      </c>
      <c r="I194" s="15" t="s">
        <v>242</v>
      </c>
    </row>
    <row r="195">
      <c r="A195" s="29">
        <v>1982.0</v>
      </c>
      <c r="B195" s="30">
        <v>5.03303229E8</v>
      </c>
      <c r="C195" s="31">
        <f>+483.9%</f>
        <v>4.839</v>
      </c>
      <c r="D195" s="32">
        <v>49.0</v>
      </c>
      <c r="E195" s="30">
        <v>1.0271494E7</v>
      </c>
      <c r="F195" s="33" t="s">
        <v>284</v>
      </c>
      <c r="G195" s="30">
        <v>5.7566348E7</v>
      </c>
      <c r="H195" s="34">
        <v>0.114</v>
      </c>
      <c r="I195" s="15" t="s">
        <v>242</v>
      </c>
    </row>
    <row r="196">
      <c r="A196" s="29">
        <v>1981.0</v>
      </c>
      <c r="B196" s="30">
        <v>8.6191432E7</v>
      </c>
      <c r="C196" s="38">
        <v>-0.87</v>
      </c>
      <c r="D196" s="32">
        <v>18.0</v>
      </c>
      <c r="E196" s="30">
        <v>4788412.0</v>
      </c>
      <c r="F196" s="33" t="s">
        <v>285</v>
      </c>
      <c r="G196" s="30">
        <v>2.5533818E7</v>
      </c>
      <c r="H196" s="34">
        <v>0.296</v>
      </c>
      <c r="I196" s="15" t="s">
        <v>242</v>
      </c>
    </row>
    <row r="197">
      <c r="A197" s="29">
        <v>1980.0</v>
      </c>
      <c r="B197" s="30">
        <v>6.63477903E8</v>
      </c>
      <c r="C197" s="31">
        <f>+64.6%</f>
        <v>0.646</v>
      </c>
      <c r="D197" s="32">
        <v>24.0</v>
      </c>
      <c r="E197" s="30">
        <v>2.7644912E7</v>
      </c>
      <c r="F197" s="33" t="s">
        <v>286</v>
      </c>
      <c r="G197" s="30">
        <v>1.032905E8</v>
      </c>
      <c r="H197" s="34">
        <v>0.156</v>
      </c>
      <c r="I197" s="15" t="s">
        <v>242</v>
      </c>
    </row>
    <row r="198">
      <c r="A198" s="29">
        <v>1979.0</v>
      </c>
      <c r="B198" s="30">
        <v>4.03012063E8</v>
      </c>
      <c r="C198" s="31">
        <f>+128.7%</f>
        <v>1.287</v>
      </c>
      <c r="D198" s="32">
        <v>13.0</v>
      </c>
      <c r="E198" s="30">
        <v>3.1000927E7</v>
      </c>
      <c r="F198" s="33" t="s">
        <v>287</v>
      </c>
      <c r="G198" s="30">
        <v>8.2258456E7</v>
      </c>
      <c r="H198" s="34">
        <v>0.204</v>
      </c>
      <c r="I198" s="15" t="s">
        <v>242</v>
      </c>
    </row>
    <row r="199">
      <c r="A199" s="29">
        <v>1978.0</v>
      </c>
      <c r="B199" s="30">
        <v>1.76187463E8</v>
      </c>
      <c r="C199" s="35">
        <v>-0.055</v>
      </c>
      <c r="D199" s="32">
        <v>5.0</v>
      </c>
      <c r="E199" s="30">
        <v>3.5237492E7</v>
      </c>
      <c r="F199" s="33" t="s">
        <v>288</v>
      </c>
      <c r="G199" s="30">
        <v>8.5196485E7</v>
      </c>
      <c r="H199" s="34">
        <v>0.484</v>
      </c>
      <c r="I199" s="15" t="s">
        <v>242</v>
      </c>
    </row>
    <row r="200">
      <c r="A200" s="29">
        <v>1977.0</v>
      </c>
      <c r="B200" s="30">
        <v>1.86361247E8</v>
      </c>
      <c r="C200" s="31">
        <f>+254.2%</f>
        <v>2.542</v>
      </c>
      <c r="D200" s="32">
        <v>6.0</v>
      </c>
      <c r="E200" s="30">
        <v>3.1060207E7</v>
      </c>
      <c r="F200" s="33" t="s">
        <v>289</v>
      </c>
      <c r="G200" s="30">
        <v>6.1938648E7</v>
      </c>
      <c r="H200" s="34">
        <v>0.332</v>
      </c>
      <c r="I200" s="15" t="s">
        <v>242</v>
      </c>
    </row>
    <row r="201">
      <c r="A201" s="29">
        <v>1976.0</v>
      </c>
      <c r="B201" s="30">
        <v>5.2614445E7</v>
      </c>
      <c r="C201" s="35">
        <v>-0.724</v>
      </c>
      <c r="D201" s="32">
        <v>1.0</v>
      </c>
      <c r="E201" s="30">
        <v>5.2614445E7</v>
      </c>
      <c r="F201" s="33" t="s">
        <v>290</v>
      </c>
      <c r="G201" s="30">
        <v>5.2614445E7</v>
      </c>
      <c r="H201" s="36">
        <v>1.0</v>
      </c>
      <c r="I201" s="15" t="s">
        <v>242</v>
      </c>
    </row>
    <row r="202">
      <c r="A202" s="29">
        <v>1975.0</v>
      </c>
      <c r="B202" s="30">
        <v>1.90274624E8</v>
      </c>
      <c r="C202" s="32" t="s">
        <v>7</v>
      </c>
      <c r="D202" s="32">
        <v>1.0</v>
      </c>
      <c r="E202" s="30">
        <v>1.90274624E8</v>
      </c>
      <c r="F202" s="33" t="s">
        <v>291</v>
      </c>
      <c r="G202" s="30">
        <v>1.90274624E8</v>
      </c>
      <c r="H202" s="36">
        <v>1.0</v>
      </c>
      <c r="I202" s="15" t="s">
        <v>242</v>
      </c>
    </row>
    <row r="203">
      <c r="A203" s="29">
        <v>1972.0</v>
      </c>
      <c r="B203" s="30">
        <v>8.4563118E7</v>
      </c>
      <c r="C203" s="32" t="s">
        <v>7</v>
      </c>
      <c r="D203" s="32">
        <v>1.0</v>
      </c>
      <c r="E203" s="30">
        <v>8.4563118E7</v>
      </c>
      <c r="F203" s="33" t="s">
        <v>292</v>
      </c>
      <c r="G203" s="30">
        <v>8.4563118E7</v>
      </c>
      <c r="H203" s="36">
        <v>1.0</v>
      </c>
      <c r="I203" s="15" t="s">
        <v>242</v>
      </c>
    </row>
  </sheetData>
  <hyperlinks>
    <hyperlink r:id="rId1" location="table" ref="B1"/>
    <hyperlink r:id="rId2" location="table" ref="C1"/>
    <hyperlink r:id="rId3" location="table" ref="D1"/>
    <hyperlink r:id="rId4" location="table" ref="E1"/>
    <hyperlink r:id="rId5" location="table" ref="G1"/>
    <hyperlink r:id="rId6" location="table" ref="H1"/>
    <hyperlink r:id="rId7" ref="A2"/>
    <hyperlink r:id="rId8" ref="F2"/>
    <hyperlink r:id="rId9" ref="A3"/>
    <hyperlink r:id="rId10" ref="F3"/>
    <hyperlink r:id="rId11" ref="A4"/>
    <hyperlink r:id="rId12" ref="F4"/>
    <hyperlink r:id="rId13" ref="A5"/>
    <hyperlink r:id="rId14" ref="F5"/>
    <hyperlink r:id="rId15" ref="A6"/>
    <hyperlink r:id="rId16" ref="F6"/>
    <hyperlink r:id="rId17" ref="A7"/>
    <hyperlink r:id="rId18" ref="F7"/>
    <hyperlink r:id="rId19" ref="A8"/>
    <hyperlink r:id="rId20" ref="F8"/>
    <hyperlink r:id="rId21" ref="A9"/>
    <hyperlink r:id="rId22" ref="F9"/>
    <hyperlink r:id="rId23" ref="A10"/>
    <hyperlink r:id="rId24" ref="F10"/>
    <hyperlink r:id="rId25" ref="A11"/>
    <hyperlink r:id="rId26" ref="F11"/>
    <hyperlink r:id="rId27" ref="A12"/>
    <hyperlink r:id="rId28" ref="F12"/>
    <hyperlink r:id="rId29" ref="A13"/>
    <hyperlink r:id="rId30" ref="F13"/>
    <hyperlink r:id="rId31" ref="A14"/>
    <hyperlink r:id="rId32" ref="F14"/>
    <hyperlink r:id="rId33" ref="A15"/>
    <hyperlink r:id="rId34" ref="F15"/>
    <hyperlink r:id="rId35" ref="A16"/>
    <hyperlink r:id="rId36" ref="F16"/>
    <hyperlink r:id="rId37" ref="A17"/>
    <hyperlink r:id="rId38" ref="F17"/>
    <hyperlink r:id="rId39" ref="A18"/>
    <hyperlink r:id="rId40" ref="F18"/>
    <hyperlink r:id="rId41" ref="A19"/>
    <hyperlink r:id="rId42" ref="F19"/>
    <hyperlink r:id="rId43" ref="A20"/>
    <hyperlink r:id="rId44" ref="F20"/>
    <hyperlink r:id="rId45" ref="A21"/>
    <hyperlink r:id="rId46" ref="F21"/>
    <hyperlink r:id="rId47" ref="A22"/>
    <hyperlink r:id="rId48" ref="F22"/>
    <hyperlink r:id="rId49" ref="A23"/>
    <hyperlink r:id="rId50" ref="F23"/>
    <hyperlink r:id="rId51" ref="A24"/>
    <hyperlink r:id="rId52" ref="F24"/>
    <hyperlink r:id="rId53" ref="A25"/>
    <hyperlink r:id="rId54" ref="F25"/>
    <hyperlink r:id="rId55" ref="A26"/>
    <hyperlink r:id="rId56" ref="F26"/>
    <hyperlink r:id="rId57" ref="A27"/>
    <hyperlink r:id="rId58" ref="F27"/>
    <hyperlink r:id="rId59" ref="A28"/>
    <hyperlink r:id="rId60" ref="F28"/>
    <hyperlink r:id="rId61" ref="A29"/>
    <hyperlink r:id="rId62" ref="F29"/>
    <hyperlink r:id="rId63" ref="A30"/>
    <hyperlink r:id="rId64" ref="F30"/>
    <hyperlink r:id="rId65" ref="A31"/>
    <hyperlink r:id="rId66" ref="F31"/>
    <hyperlink r:id="rId67" ref="A32"/>
    <hyperlink r:id="rId68" ref="F32"/>
    <hyperlink r:id="rId69" ref="A33"/>
    <hyperlink r:id="rId70" ref="F33"/>
    <hyperlink r:id="rId71" ref="A34"/>
    <hyperlink r:id="rId72" ref="F34"/>
    <hyperlink r:id="rId73" ref="A35"/>
    <hyperlink r:id="rId74" ref="F35"/>
    <hyperlink r:id="rId75" ref="A36"/>
    <hyperlink r:id="rId76" ref="F36"/>
    <hyperlink r:id="rId77" ref="A37"/>
    <hyperlink r:id="rId78" ref="F37"/>
    <hyperlink r:id="rId79" ref="A38"/>
    <hyperlink r:id="rId80" ref="F38"/>
    <hyperlink r:id="rId81" ref="A39"/>
    <hyperlink r:id="rId82" ref="F39"/>
    <hyperlink r:id="rId83" ref="A40"/>
    <hyperlink r:id="rId84" ref="F40"/>
    <hyperlink r:id="rId85" ref="A41"/>
    <hyperlink r:id="rId86" ref="F41"/>
    <hyperlink r:id="rId87" ref="A42"/>
    <hyperlink r:id="rId88" ref="F42"/>
    <hyperlink r:id="rId89" ref="A43"/>
    <hyperlink r:id="rId90" ref="F43"/>
    <hyperlink r:id="rId91" ref="A44"/>
    <hyperlink r:id="rId92" ref="F44"/>
    <hyperlink r:id="rId93" ref="A45"/>
    <hyperlink r:id="rId94" ref="F45"/>
    <hyperlink r:id="rId95" ref="A46"/>
    <hyperlink r:id="rId96" ref="F46"/>
    <hyperlink r:id="rId97" ref="A47"/>
    <hyperlink r:id="rId98" ref="F47"/>
    <hyperlink r:id="rId99" ref="A48"/>
    <hyperlink r:id="rId100" ref="F48"/>
    <hyperlink r:id="rId101" ref="A49"/>
    <hyperlink r:id="rId102" ref="F49"/>
    <hyperlink r:id="rId103" ref="A50"/>
    <hyperlink r:id="rId104" ref="F50"/>
    <hyperlink r:id="rId105" ref="A51"/>
    <hyperlink r:id="rId106" ref="F51"/>
    <hyperlink r:id="rId107" ref="A52"/>
    <hyperlink r:id="rId108" ref="F52"/>
    <hyperlink r:id="rId109" ref="A53"/>
    <hyperlink r:id="rId110" ref="F53"/>
    <hyperlink r:id="rId111" ref="A54"/>
    <hyperlink r:id="rId112" ref="F54"/>
    <hyperlink r:id="rId113" ref="A55"/>
    <hyperlink r:id="rId114" ref="F55"/>
    <hyperlink r:id="rId115" ref="A56"/>
    <hyperlink r:id="rId116" ref="F56"/>
    <hyperlink r:id="rId117" ref="A57"/>
    <hyperlink r:id="rId118" ref="F57"/>
    <hyperlink r:id="rId119" ref="A58"/>
    <hyperlink r:id="rId120" ref="F58"/>
    <hyperlink r:id="rId121" ref="A59"/>
    <hyperlink r:id="rId122" ref="F59"/>
    <hyperlink r:id="rId123" ref="A60"/>
    <hyperlink r:id="rId124" ref="F60"/>
    <hyperlink r:id="rId125" ref="A61"/>
    <hyperlink r:id="rId126" ref="F61"/>
    <hyperlink r:id="rId127" ref="A62"/>
    <hyperlink r:id="rId128" ref="F62"/>
    <hyperlink r:id="rId129" ref="A63"/>
    <hyperlink r:id="rId130" ref="F63"/>
    <hyperlink r:id="rId131" ref="A64"/>
    <hyperlink r:id="rId132" ref="F64"/>
    <hyperlink r:id="rId133" ref="A65"/>
    <hyperlink r:id="rId134" ref="F65"/>
    <hyperlink r:id="rId135" ref="A66"/>
    <hyperlink r:id="rId136" ref="F66"/>
    <hyperlink r:id="rId137" ref="A67"/>
    <hyperlink r:id="rId138" ref="F67"/>
    <hyperlink r:id="rId139" ref="A68"/>
    <hyperlink r:id="rId140" ref="F68"/>
    <hyperlink r:id="rId141" ref="A69"/>
    <hyperlink r:id="rId142" ref="F69"/>
    <hyperlink r:id="rId143" ref="A70"/>
    <hyperlink r:id="rId144" ref="F70"/>
    <hyperlink r:id="rId145" ref="A71"/>
    <hyperlink r:id="rId146" ref="F71"/>
    <hyperlink r:id="rId147" ref="A72"/>
    <hyperlink r:id="rId148" ref="F72"/>
    <hyperlink r:id="rId149" ref="A73"/>
    <hyperlink r:id="rId150" ref="F73"/>
    <hyperlink r:id="rId151" ref="A74"/>
    <hyperlink r:id="rId152" ref="F74"/>
    <hyperlink r:id="rId153" ref="A75"/>
    <hyperlink r:id="rId154" ref="F75"/>
    <hyperlink r:id="rId155" ref="A76"/>
    <hyperlink r:id="rId156" ref="F76"/>
    <hyperlink r:id="rId157" ref="A77"/>
    <hyperlink r:id="rId158" ref="F77"/>
    <hyperlink r:id="rId159" ref="A78"/>
    <hyperlink r:id="rId160" ref="F78"/>
    <hyperlink r:id="rId161" ref="A79"/>
    <hyperlink r:id="rId162" ref="F79"/>
    <hyperlink r:id="rId163" ref="A80"/>
    <hyperlink r:id="rId164" ref="F80"/>
    <hyperlink r:id="rId165" ref="A81"/>
    <hyperlink r:id="rId166" ref="F81"/>
    <hyperlink r:id="rId167" ref="A82"/>
    <hyperlink r:id="rId168" ref="F82"/>
    <hyperlink r:id="rId169" ref="A83"/>
    <hyperlink r:id="rId170" ref="F83"/>
    <hyperlink r:id="rId171" ref="A84"/>
    <hyperlink r:id="rId172" ref="F84"/>
    <hyperlink r:id="rId173" ref="A85"/>
    <hyperlink r:id="rId174" ref="F85"/>
    <hyperlink r:id="rId175" ref="A86"/>
    <hyperlink r:id="rId176" ref="F86"/>
    <hyperlink r:id="rId177" ref="A87"/>
    <hyperlink r:id="rId178" ref="F87"/>
    <hyperlink r:id="rId179" ref="A88"/>
    <hyperlink r:id="rId180" ref="F88"/>
    <hyperlink r:id="rId181" ref="A89"/>
    <hyperlink r:id="rId182" ref="F89"/>
    <hyperlink r:id="rId183" ref="A90"/>
    <hyperlink r:id="rId184" ref="F90"/>
    <hyperlink r:id="rId185" ref="A91"/>
    <hyperlink r:id="rId186" ref="F91"/>
    <hyperlink r:id="rId187" ref="A92"/>
    <hyperlink r:id="rId188" ref="F92"/>
    <hyperlink r:id="rId189" ref="A93"/>
    <hyperlink r:id="rId190" ref="F93"/>
    <hyperlink r:id="rId191" ref="A94"/>
    <hyperlink r:id="rId192" ref="F94"/>
    <hyperlink r:id="rId193" ref="A95"/>
    <hyperlink r:id="rId194" ref="F95"/>
    <hyperlink r:id="rId195" ref="A96"/>
    <hyperlink r:id="rId196" ref="F96"/>
    <hyperlink r:id="rId197" ref="A97"/>
    <hyperlink r:id="rId198" ref="F97"/>
    <hyperlink r:id="rId199" ref="A98"/>
    <hyperlink r:id="rId200" ref="F98"/>
    <hyperlink r:id="rId201" ref="A99"/>
    <hyperlink r:id="rId202" ref="F99"/>
    <hyperlink r:id="rId203" ref="A100"/>
    <hyperlink r:id="rId204" ref="F100"/>
    <hyperlink r:id="rId205" ref="A101"/>
    <hyperlink r:id="rId206" ref="F101"/>
    <hyperlink r:id="rId207" ref="A102"/>
    <hyperlink r:id="rId208" ref="F102"/>
    <hyperlink r:id="rId209" ref="A103"/>
    <hyperlink r:id="rId210" ref="F103"/>
    <hyperlink r:id="rId211" ref="A104"/>
    <hyperlink r:id="rId212" ref="F104"/>
    <hyperlink r:id="rId213" ref="A105"/>
    <hyperlink r:id="rId214" ref="F105"/>
    <hyperlink r:id="rId215" ref="A106"/>
    <hyperlink r:id="rId216" ref="F106"/>
    <hyperlink r:id="rId217" ref="A107"/>
    <hyperlink r:id="rId218" ref="F107"/>
    <hyperlink r:id="rId219" ref="A108"/>
    <hyperlink r:id="rId220" ref="F108"/>
    <hyperlink r:id="rId221" ref="A109"/>
    <hyperlink r:id="rId222" ref="F109"/>
    <hyperlink r:id="rId223" ref="A110"/>
    <hyperlink r:id="rId224" ref="F110"/>
    <hyperlink r:id="rId225" ref="A111"/>
    <hyperlink r:id="rId226" ref="F111"/>
    <hyperlink r:id="rId227" ref="A112"/>
    <hyperlink r:id="rId228" ref="F112"/>
    <hyperlink r:id="rId229" ref="A113"/>
    <hyperlink r:id="rId230" ref="F113"/>
    <hyperlink r:id="rId231" ref="A114"/>
    <hyperlink r:id="rId232" ref="F114"/>
    <hyperlink r:id="rId233" ref="A115"/>
    <hyperlink r:id="rId234" ref="F115"/>
    <hyperlink r:id="rId235" ref="A116"/>
    <hyperlink r:id="rId236" ref="F116"/>
    <hyperlink r:id="rId237" ref="A117"/>
    <hyperlink r:id="rId238" ref="F117"/>
    <hyperlink r:id="rId239" ref="A118"/>
    <hyperlink r:id="rId240" ref="F118"/>
    <hyperlink r:id="rId241" ref="A119"/>
    <hyperlink r:id="rId242" ref="F119"/>
    <hyperlink r:id="rId243" ref="A120"/>
    <hyperlink r:id="rId244" ref="F120"/>
    <hyperlink r:id="rId245" ref="A121"/>
    <hyperlink r:id="rId246" ref="F121"/>
    <hyperlink r:id="rId247" ref="A122"/>
    <hyperlink r:id="rId248" ref="F122"/>
    <hyperlink r:id="rId249" ref="A123"/>
    <hyperlink r:id="rId250" ref="F123"/>
    <hyperlink r:id="rId251" ref="A124"/>
    <hyperlink r:id="rId252" ref="F124"/>
    <hyperlink r:id="rId253" ref="A125"/>
    <hyperlink r:id="rId254" ref="F125"/>
    <hyperlink r:id="rId255" ref="A126"/>
    <hyperlink r:id="rId256" ref="F126"/>
    <hyperlink r:id="rId257" ref="A127"/>
    <hyperlink r:id="rId258" ref="F127"/>
    <hyperlink r:id="rId259" ref="A128"/>
    <hyperlink r:id="rId260" ref="F128"/>
    <hyperlink r:id="rId261" ref="A129"/>
    <hyperlink r:id="rId262" ref="F129"/>
    <hyperlink r:id="rId263" ref="A130"/>
    <hyperlink r:id="rId264" ref="F130"/>
    <hyperlink r:id="rId265" ref="A131"/>
    <hyperlink r:id="rId266" ref="F131"/>
    <hyperlink r:id="rId267" ref="A132"/>
    <hyperlink r:id="rId268" ref="F132"/>
    <hyperlink r:id="rId269" ref="A133"/>
    <hyperlink r:id="rId270" ref="F133"/>
    <hyperlink r:id="rId271" ref="A134"/>
    <hyperlink r:id="rId272" ref="F134"/>
    <hyperlink r:id="rId273" ref="A135"/>
    <hyperlink r:id="rId274" ref="F135"/>
    <hyperlink r:id="rId275" ref="A136"/>
    <hyperlink r:id="rId276" ref="F136"/>
    <hyperlink r:id="rId277" ref="A137"/>
    <hyperlink r:id="rId278" ref="F137"/>
    <hyperlink r:id="rId279" ref="A138"/>
    <hyperlink r:id="rId280" ref="F138"/>
    <hyperlink r:id="rId281" ref="A139"/>
    <hyperlink r:id="rId282" ref="F139"/>
    <hyperlink r:id="rId283" ref="A140"/>
    <hyperlink r:id="rId284" ref="F140"/>
    <hyperlink r:id="rId285" ref="A141"/>
    <hyperlink r:id="rId286" ref="F141"/>
    <hyperlink r:id="rId287" ref="A142"/>
    <hyperlink r:id="rId288" ref="F142"/>
    <hyperlink r:id="rId289" ref="A143"/>
    <hyperlink r:id="rId290" ref="F143"/>
    <hyperlink r:id="rId291" ref="A144"/>
    <hyperlink r:id="rId292" ref="F144"/>
    <hyperlink r:id="rId293" ref="A145"/>
    <hyperlink r:id="rId294" ref="F145"/>
    <hyperlink r:id="rId295" ref="A146"/>
    <hyperlink r:id="rId296" ref="F146"/>
    <hyperlink r:id="rId297" ref="A147"/>
    <hyperlink r:id="rId298" ref="F147"/>
    <hyperlink r:id="rId299" ref="A148"/>
    <hyperlink r:id="rId300" ref="F148"/>
    <hyperlink r:id="rId301" ref="A149"/>
    <hyperlink r:id="rId302" ref="F149"/>
    <hyperlink r:id="rId303" ref="A150"/>
    <hyperlink r:id="rId304" ref="F150"/>
    <hyperlink r:id="rId305" ref="A151"/>
    <hyperlink r:id="rId306" ref="F151"/>
    <hyperlink r:id="rId307" ref="A152"/>
    <hyperlink r:id="rId308" ref="F152"/>
    <hyperlink r:id="rId309" ref="A153"/>
    <hyperlink r:id="rId310" ref="F153"/>
    <hyperlink r:id="rId311" ref="A154"/>
    <hyperlink r:id="rId312" ref="F154"/>
    <hyperlink r:id="rId313" ref="A155"/>
    <hyperlink r:id="rId314" ref="F155"/>
    <hyperlink r:id="rId315" ref="A156"/>
    <hyperlink r:id="rId316" ref="F156"/>
    <hyperlink r:id="rId317" ref="A157"/>
    <hyperlink r:id="rId318" ref="F157"/>
    <hyperlink r:id="rId319" ref="A158"/>
    <hyperlink r:id="rId320" ref="F158"/>
    <hyperlink r:id="rId321" ref="A159"/>
    <hyperlink r:id="rId322" ref="F159"/>
    <hyperlink r:id="rId323" ref="A160"/>
    <hyperlink r:id="rId324" ref="F160"/>
    <hyperlink r:id="rId325" ref="A161"/>
    <hyperlink r:id="rId326" ref="F161"/>
    <hyperlink r:id="rId327" ref="A162"/>
    <hyperlink r:id="rId328" ref="F162"/>
    <hyperlink r:id="rId329" ref="A163"/>
    <hyperlink r:id="rId330" ref="F163"/>
    <hyperlink r:id="rId331" ref="A164"/>
    <hyperlink r:id="rId332" ref="F164"/>
    <hyperlink r:id="rId333" ref="A165"/>
    <hyperlink r:id="rId334" ref="F165"/>
    <hyperlink r:id="rId335" ref="A166"/>
    <hyperlink r:id="rId336" ref="F166"/>
    <hyperlink r:id="rId337" ref="A167"/>
    <hyperlink r:id="rId338" ref="F167"/>
    <hyperlink r:id="rId339" ref="A168"/>
    <hyperlink r:id="rId340" ref="F168"/>
    <hyperlink r:id="rId341" ref="A169"/>
    <hyperlink r:id="rId342" ref="F169"/>
    <hyperlink r:id="rId343" ref="A170"/>
    <hyperlink r:id="rId344" ref="F170"/>
    <hyperlink r:id="rId345" ref="A171"/>
    <hyperlink r:id="rId346" ref="F171"/>
    <hyperlink r:id="rId347" ref="A172"/>
    <hyperlink r:id="rId348" ref="F172"/>
    <hyperlink r:id="rId349" ref="A173"/>
    <hyperlink r:id="rId350" ref="F173"/>
    <hyperlink r:id="rId351" ref="A174"/>
    <hyperlink r:id="rId352" ref="F174"/>
    <hyperlink r:id="rId353" ref="A175"/>
    <hyperlink r:id="rId354" ref="F175"/>
    <hyperlink r:id="rId355" ref="A176"/>
    <hyperlink r:id="rId356" ref="F176"/>
    <hyperlink r:id="rId357" ref="A177"/>
    <hyperlink r:id="rId358" ref="F177"/>
    <hyperlink r:id="rId359" ref="A178"/>
    <hyperlink r:id="rId360" ref="F178"/>
    <hyperlink r:id="rId361" ref="A179"/>
    <hyperlink r:id="rId362" ref="F179"/>
    <hyperlink r:id="rId363" ref="A180"/>
    <hyperlink r:id="rId364" ref="F180"/>
    <hyperlink r:id="rId365" ref="A181"/>
    <hyperlink r:id="rId366" ref="F181"/>
    <hyperlink r:id="rId367" ref="A182"/>
    <hyperlink r:id="rId368" ref="F182"/>
    <hyperlink r:id="rId369" ref="A183"/>
    <hyperlink r:id="rId370" ref="F183"/>
    <hyperlink r:id="rId371" ref="A184"/>
    <hyperlink r:id="rId372" ref="F184"/>
    <hyperlink r:id="rId373" ref="A185"/>
    <hyperlink r:id="rId374" ref="F185"/>
    <hyperlink r:id="rId375" ref="A186"/>
    <hyperlink r:id="rId376" ref="F186"/>
    <hyperlink r:id="rId377" ref="A187"/>
    <hyperlink r:id="rId378" ref="F187"/>
    <hyperlink r:id="rId379" ref="A188"/>
    <hyperlink r:id="rId380" ref="F188"/>
    <hyperlink r:id="rId381" ref="A189"/>
    <hyperlink r:id="rId382" ref="F189"/>
    <hyperlink r:id="rId383" ref="A190"/>
    <hyperlink r:id="rId384" ref="F190"/>
    <hyperlink r:id="rId385" ref="A191"/>
    <hyperlink r:id="rId386" ref="F191"/>
    <hyperlink r:id="rId387" ref="A192"/>
    <hyperlink r:id="rId388" ref="F192"/>
    <hyperlink r:id="rId389" ref="A193"/>
    <hyperlink r:id="rId390" ref="F193"/>
    <hyperlink r:id="rId391" ref="A194"/>
    <hyperlink r:id="rId392" ref="F194"/>
    <hyperlink r:id="rId393" ref="A195"/>
    <hyperlink r:id="rId394" ref="F195"/>
    <hyperlink r:id="rId395" ref="A196"/>
    <hyperlink r:id="rId396" ref="F196"/>
    <hyperlink r:id="rId397" ref="A197"/>
    <hyperlink r:id="rId398" ref="F197"/>
    <hyperlink r:id="rId399" ref="A198"/>
    <hyperlink r:id="rId400" ref="F198"/>
    <hyperlink r:id="rId401" ref="A199"/>
    <hyperlink r:id="rId402" ref="F199"/>
    <hyperlink r:id="rId403" ref="A200"/>
    <hyperlink r:id="rId404" ref="F200"/>
    <hyperlink r:id="rId405" ref="A201"/>
    <hyperlink r:id="rId406" ref="F201"/>
    <hyperlink r:id="rId407" ref="A202"/>
    <hyperlink r:id="rId408" ref="F202"/>
    <hyperlink r:id="rId409" ref="A203"/>
    <hyperlink r:id="rId410" ref="F203"/>
  </hyperlinks>
  <drawing r:id="rId4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2025-08-01T20:26:44Z</dcterms:created>
  <dc:creator>Kailai Shao</dc:creator>
</cp:coreProperties>
</file>